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eterhutas/VizualCPFork/assets/xlsx/"/>
    </mc:Choice>
  </mc:AlternateContent>
  <xr:revisionPtr revIDLastSave="0" documentId="13_ncr:1_{32CC43CB-209F-CD4A-98BD-2293C91098AE}" xr6:coauthVersionLast="47" xr6:coauthVersionMax="47" xr10:uidLastSave="{00000000-0000-0000-0000-000000000000}"/>
  <bookViews>
    <workbookView xWindow="4440" yWindow="780" windowWidth="30240" windowHeight="17440" xr2:uid="{00000000-000D-0000-FFFF-FFFF00000000}"/>
  </bookViews>
  <sheets>
    <sheet name="Hárok1" sheetId="1" r:id="rId1"/>
    <sheet name="Cal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d/snxJ6auSRfMfasH2GqmwsPnDu+ASLCn8ilYb/EyQ="/>
    </ext>
  </extLst>
</workbook>
</file>

<file path=xl/calcChain.xml><?xml version="1.0" encoding="utf-8"?>
<calcChain xmlns="http://schemas.openxmlformats.org/spreadsheetml/2006/main">
  <c r="H79" i="1" l="1"/>
  <c r="F78" i="1"/>
  <c r="H78" i="1" s="1"/>
  <c r="F77" i="1"/>
  <c r="H77" i="1" s="1"/>
  <c r="F76" i="1"/>
  <c r="H76" i="1" s="1"/>
  <c r="H75" i="1"/>
  <c r="F75" i="1"/>
  <c r="F74" i="1"/>
  <c r="H74" i="1" s="1"/>
  <c r="H73" i="1"/>
  <c r="F73" i="1"/>
  <c r="H72" i="1"/>
  <c r="F72" i="1"/>
  <c r="F71" i="1"/>
  <c r="H71" i="1" s="1"/>
  <c r="H70" i="1"/>
  <c r="F70" i="1"/>
  <c r="F69" i="1"/>
  <c r="H69" i="1" s="1"/>
  <c r="F68" i="1"/>
  <c r="H68" i="1" s="1"/>
  <c r="F67" i="1"/>
  <c r="H67" i="1" s="1"/>
  <c r="F66" i="1"/>
  <c r="H66" i="1" s="1"/>
  <c r="H65" i="1"/>
  <c r="F65" i="1"/>
  <c r="F64" i="1"/>
  <c r="H64" i="1" s="1"/>
  <c r="F63" i="1"/>
  <c r="H63" i="1" s="1"/>
  <c r="F62" i="1"/>
  <c r="H62" i="1" s="1"/>
  <c r="F61" i="1"/>
  <c r="H61" i="1" s="1"/>
  <c r="H60" i="1"/>
  <c r="F60" i="1"/>
  <c r="F59" i="1"/>
  <c r="H59" i="1" s="1"/>
  <c r="H56" i="1"/>
  <c r="H55" i="1"/>
  <c r="H54" i="1"/>
  <c r="H53" i="1"/>
  <c r="H52" i="1"/>
  <c r="H51" i="1"/>
  <c r="H50" i="1"/>
  <c r="F50" i="1"/>
  <c r="H49" i="1"/>
  <c r="H48" i="1"/>
  <c r="H45" i="1"/>
  <c r="H44" i="1"/>
  <c r="H43" i="1"/>
  <c r="H42" i="1"/>
  <c r="H41" i="1"/>
  <c r="H40" i="1"/>
  <c r="H39" i="1"/>
  <c r="H38" i="1"/>
  <c r="H37" i="1"/>
  <c r="H36" i="1"/>
  <c r="H33" i="1"/>
  <c r="H26" i="1"/>
  <c r="H23" i="1"/>
  <c r="H22" i="1"/>
  <c r="H21" i="1"/>
  <c r="H20" i="1"/>
  <c r="H19" i="1"/>
  <c r="H18" i="1"/>
  <c r="H15" i="1"/>
  <c r="F15" i="1"/>
  <c r="E15" i="1"/>
  <c r="H14" i="1"/>
  <c r="F14" i="1"/>
  <c r="E14" i="1"/>
  <c r="H13" i="1"/>
  <c r="F13" i="1"/>
  <c r="E13" i="1"/>
  <c r="H12" i="1"/>
  <c r="F12" i="1"/>
  <c r="E12" i="1"/>
  <c r="H11" i="1"/>
  <c r="F11" i="1"/>
  <c r="E11" i="1"/>
  <c r="H10" i="1"/>
  <c r="F10" i="1"/>
  <c r="E10" i="1"/>
  <c r="H9" i="1"/>
  <c r="F9" i="1"/>
  <c r="E9" i="1"/>
  <c r="H8" i="1"/>
  <c r="F8" i="1"/>
  <c r="E8" i="1"/>
  <c r="H7" i="1"/>
  <c r="H81" i="1" s="1"/>
  <c r="H82" i="1" s="1"/>
  <c r="F7" i="1"/>
  <c r="E7" i="1"/>
</calcChain>
</file>

<file path=xl/sharedStrings.xml><?xml version="1.0" encoding="utf-8"?>
<sst xmlns="http://schemas.openxmlformats.org/spreadsheetml/2006/main" count="146" uniqueCount="130">
  <si>
    <t>STOLÁRSTVO</t>
  </si>
  <si>
    <t>MENO:</t>
  </si>
  <si>
    <t>TELEFÓN:</t>
  </si>
  <si>
    <t>SUČANSKÝ</t>
  </si>
  <si>
    <t>ADRESA:</t>
  </si>
  <si>
    <t>E-MAIL:</t>
  </si>
  <si>
    <t>CENOVÁ PONUKA INTERIÉROVÉ DVERE</t>
  </si>
  <si>
    <t>MATERIÁL:</t>
  </si>
  <si>
    <t>ROZMER</t>
  </si>
  <si>
    <t>MODEL</t>
  </si>
  <si>
    <t>MATERIÁL</t>
  </si>
  <si>
    <t>SKLO</t>
  </si>
  <si>
    <t>CENA ZA KUS</t>
  </si>
  <si>
    <t>ZÁRUBEŇ</t>
  </si>
  <si>
    <t>POČET</t>
  </si>
  <si>
    <t>CENA BEZ DPH</t>
  </si>
  <si>
    <t>KĽUČKY nájdete na kluckynadvere.sk</t>
  </si>
  <si>
    <t>Rozeta - BB štandardný interiérový zámok</t>
  </si>
  <si>
    <t>Rozeta - WC zámok</t>
  </si>
  <si>
    <t>Rozeta - FAB zámok</t>
  </si>
  <si>
    <t>Montáž kľučiek a roziet 5€</t>
  </si>
  <si>
    <t>DOVOZ</t>
  </si>
  <si>
    <t>MESTO</t>
  </si>
  <si>
    <t>Okresné mesto. Cena prepravy je 0,5 € za km. Preprava sa počíta od výroby v obci Čachtice.</t>
  </si>
  <si>
    <t>Ulica</t>
  </si>
  <si>
    <t>Číslo domu</t>
  </si>
  <si>
    <t>Obec</t>
  </si>
  <si>
    <t>PSČ</t>
  </si>
  <si>
    <t>MONTÁŽ</t>
  </si>
  <si>
    <t>Akciová montáž dverí so zárubňou 25 € / kus. Akcia platí pri počte 6 a viac kusov. Minimálna suma na dvoch montážnikov je 150 €.</t>
  </si>
  <si>
    <t>ŠPECIÁLNE DOPLNKY</t>
  </si>
  <si>
    <t>Farebné krytky na pánty</t>
  </si>
  <si>
    <t>Farebné magnetické zámky</t>
  </si>
  <si>
    <t>Mušle na posuvné dvere</t>
  </si>
  <si>
    <t>Farebné skryté kovanie</t>
  </si>
  <si>
    <t>Náprstník na posuvné dvere</t>
  </si>
  <si>
    <t>Príplatok za striekanie</t>
  </si>
  <si>
    <t>Príplatok za dyhu</t>
  </si>
  <si>
    <t>Príplatok za sklo</t>
  </si>
  <si>
    <t>Vetracie mriežky do dverí</t>
  </si>
  <si>
    <t>MOŽNÉ PRÍPLATKY</t>
  </si>
  <si>
    <t>Výplň dutinková drevotrieska: Dvere môžu byť vyplnené papierovou voštinou alebo dutinkovou drevotrieskou za príplatok 30 €. Voština je papierová vrstva, dutinková drevotrieska je z drevenej štiepky. Dutinkovú drevotriesku odporúčame do dverí V1, ale môžu ísť do všetkých dverí z kategórie Vanesa a Petra. Dutinková drevotrieska je tažšia, pevnejšia a izolačnejšia.</t>
  </si>
  <si>
    <t>Silikónové tesnenie do zárubne 10 €/kus: Do zárubne vyfrézujeme drážku a do nej sa vsunie silikónové tesnenie. To má výhodu, že pri zatváraní sú dvere tichšie a keď sú zatvorené, tak silikónové tesnenie eliminuje zvuk zo susednej miestnosti.</t>
  </si>
  <si>
    <t>Vytmelenie nerovností medzi stenou a zárubňou 6 €/kus: Pri osadení zárubne môže pri krivých stenách vzniknúť medzera medzi stenou a zárubňou. Túto medzeru vieme vyplniť akrylovým silikónom. Vzhľadom na elasticitu silikónu sa dajú vymeniť iba medzery do 0,5 cm.</t>
  </si>
  <si>
    <t>Vynášanie na 3. a vyššie poschodie bez výťahu: Za vynášanie na 3. a vyššie poschodie bez výťahu sa účtuje príplatok za vynesenie dverí, zárubní, materiálu a náradia 100 €.</t>
  </si>
  <si>
    <t>Príplatok za steny hrubšie ako 20 cm 12 €/extra 10 cm: Ak sú steny hrubšie ako 20 cm, tak sa účtuje príplatok za extra materiál 12 € za každých extra 10 cm.</t>
  </si>
  <si>
    <t>Príplatok za dvere vyššie ako 207 cm 20 €/kus: Dvere s výškou 207 cm až 240 sm sú s príplatkom 20 €/kus za drahší materiál. Nie všetky materiály sa dajú dodať vo výške nad 207 cm.</t>
  </si>
  <si>
    <t>Obklad pôvodných oceľových zárubní 25 €/kus: Ak sa jedná o obklad pôvodných oveľových zárubní, tak sa účtuje príplatok 25€. Treba ale brať do úvahy, že pri obkladoch pôvodných zárubní sa stavebný otvor zúži o cca 3,5 cm z každej strany. To znamená cca 3,5 cm z hora a cca 7 cm zo šírky.</t>
  </si>
  <si>
    <t>Príplatok za zarezávanie obložiek 15 €/kus: Obložky sa pri montáži zarezávajú, ak sú nesprávne riešené stavebné otvory. Napríklad ak sú schody medzi miestnosťami viac ako 5 mm, ďalej ak nie sú úchyty na stenách na zárubnu a musí sa z obložky zrezávať, alebo ak je obklad v kúpelňi / WC do výšky menej ako je výška dverí a treva z obložky odfrézovať drážku.</t>
  </si>
  <si>
    <t>ŠPECIÁLNE PRÍPLATKY</t>
  </si>
  <si>
    <t>Cena zárubne na dvojkrídlové dvere 103 €. Montáž + 25 €.</t>
  </si>
  <si>
    <t>Posuvné dvere - kovanie Garniža 150 €. Montáž + 25 €.</t>
  </si>
  <si>
    <t>Posuvné dvere - kovanie Minima 250€. Montáž + 25 €.</t>
  </si>
  <si>
    <t>Posuvné dvere - kovanie do vstavaného púzdra 0 €. Zárubeň na vstavané púzdro 150 €. Montáž + 25 €.</t>
  </si>
  <si>
    <t>Príplatok za skryté pánty dvere 130 €. Montáž + 25 €.</t>
  </si>
  <si>
    <t>Príplatok za reverzné dvere 265 €. Montáž + 25 €.</t>
  </si>
  <si>
    <t>Dvojkrídlové bezfalcové dvere so zárubňou a montážou 285 €.
Montáž + 25 €.</t>
  </si>
  <si>
    <t>Príplatok za dvojkrídlové posuvné dvere garniža 250 €. Montáž + 50 €.</t>
  </si>
  <si>
    <t>Príplatok za dvojkrídlové posuvné dvere Minima 350 €. Montáž + 50 €.</t>
  </si>
  <si>
    <t>Príplatok za dvojkrídlové posuvné dvere do púzdra 0 €. Zárubeň na dvojkrídlové dvere do púzdra 180 €. Montáž + 25 €.</t>
  </si>
  <si>
    <t>Posuvné kovanie - Barn 1 čierne 150 €. Montáž + 25 €.</t>
  </si>
  <si>
    <t>Posuvné kovanie - Minima čierne 290 €. Montáž + 25 €.</t>
  </si>
  <si>
    <t>Dvere do púzdra so zárubňou 57 €. Montáž + 25 €.</t>
  </si>
  <si>
    <t>Dvere do púzdra bez zárubne 0 €. Montáž + 25 €.</t>
  </si>
  <si>
    <t>Dvojkrídlové dvere do púzdra 87 €. Montáž + 25 €.</t>
  </si>
  <si>
    <t>Zalamovacie interiérové dvere 220 €. Montáž + 50 €.</t>
  </si>
  <si>
    <t>Posuvné kovanie - neviditeľné 490 €. Montáž + 50 €.</t>
  </si>
  <si>
    <t>Posuvné kovanie - Barn 4 čierne 210 €. Montáž + 25 €.</t>
  </si>
  <si>
    <t>Posuvné kovanie - Barn 3 čierne 190 €. Montáž + 25 €.</t>
  </si>
  <si>
    <t>Posuvné kovanie - Barn 2 čierne 180 €. Montáž + 25 €.</t>
  </si>
  <si>
    <t>CENA SPOLU BEZ DPH</t>
  </si>
  <si>
    <t>CENA SPOLU S DPH</t>
  </si>
  <si>
    <t>Code</t>
  </si>
  <si>
    <t>Price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</si>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</sst>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24"/>
      <color theme="0"/>
      <name val="Aptos Black"/>
    </font>
    <font>
      <sz val="1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24"/>
      <color theme="0"/>
      <name val="Aptos Black"/>
    </font>
    <font>
      <b/>
      <sz val="20"/>
      <color theme="1"/>
      <name val="Aptos Narrow"/>
    </font>
    <font>
      <sz val="11"/>
      <color rgb="FF000000"/>
      <name val="Aptos Narrow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E3639"/>
        <bgColor rgb="FFCE3639"/>
      </patternFill>
    </fill>
    <fill>
      <patternFill patternType="solid">
        <fgColor rgb="FFF8F1F1"/>
        <bgColor rgb="FFF8F1F1"/>
      </patternFill>
    </fill>
    <fill>
      <patternFill patternType="solid">
        <fgColor rgb="FFF6D6D7"/>
        <bgColor rgb="FFF6D6D7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7" fillId="5" borderId="0" xfId="0" applyFont="1" applyFill="1"/>
    <xf numFmtId="0" fontId="3" fillId="5" borderId="15" xfId="0" applyFont="1" applyFill="1" applyBorder="1" applyAlignment="1">
      <alignment horizontal="center"/>
    </xf>
    <xf numFmtId="0" fontId="3" fillId="5" borderId="0" xfId="0" applyFont="1" applyFill="1"/>
    <xf numFmtId="0" fontId="3" fillId="5" borderId="15" xfId="0" applyFont="1" applyFill="1" applyBorder="1"/>
    <xf numFmtId="0" fontId="3" fillId="5" borderId="10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8" fillId="0" borderId="0" xfId="0" applyFont="1"/>
    <xf numFmtId="0" fontId="3" fillId="0" borderId="0" xfId="0" applyFont="1" applyAlignment="1">
      <alignment horizontal="left" vertical="center"/>
    </xf>
    <xf numFmtId="0" fontId="3" fillId="5" borderId="0" xfId="0" applyFont="1" applyFill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3" xfId="0" applyFont="1" applyFill="1" applyBorder="1"/>
    <xf numFmtId="0" fontId="10" fillId="3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2" fontId="3" fillId="0" borderId="0" xfId="0" applyNumberFormat="1" applyFont="1"/>
    <xf numFmtId="0" fontId="11" fillId="0" borderId="0" xfId="0" applyFont="1"/>
    <xf numFmtId="0" fontId="3" fillId="3" borderId="0" xfId="0" applyFont="1" applyFill="1" applyAlignment="1">
      <alignment vertical="center"/>
    </xf>
    <xf numFmtId="0" fontId="0" fillId="0" borderId="0" xfId="0"/>
    <xf numFmtId="0" fontId="5" fillId="3" borderId="12" xfId="0" applyFont="1" applyFill="1" applyBorder="1" applyAlignment="1">
      <alignment horizontal="left" vertical="center"/>
    </xf>
    <xf numFmtId="0" fontId="2" fillId="0" borderId="13" xfId="0" applyFont="1" applyBorder="1"/>
    <xf numFmtId="0" fontId="2" fillId="0" borderId="11" xfId="0" applyFont="1" applyBorder="1"/>
    <xf numFmtId="0" fontId="6" fillId="0" borderId="12" xfId="0" applyFont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2" borderId="4" xfId="0" applyFont="1" applyFill="1" applyBorder="1" applyAlignment="1">
      <alignment horizontal="center"/>
    </xf>
    <xf numFmtId="0" fontId="2" fillId="0" borderId="8" xfId="0" applyFont="1" applyBorder="1"/>
    <xf numFmtId="0" fontId="2" fillId="0" borderId="18" xfId="0" applyFont="1" applyBorder="1"/>
    <xf numFmtId="49" fontId="4" fillId="3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2" fillId="4" borderId="20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left" vertical="center"/>
    </xf>
    <xf numFmtId="0" fontId="14" fillId="0" borderId="13" xfId="0" applyFont="1" applyBorder="1"/>
    <xf numFmtId="0" fontId="14" fillId="0" borderId="11" xfId="0" applyFont="1" applyBorder="1"/>
    <xf numFmtId="0" fontId="0" fillId="4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4" fillId="0" borderId="20" xfId="0" applyFont="1" applyBorder="1"/>
    <xf numFmtId="0" fontId="12" fillId="3" borderId="19" xfId="0" applyFont="1" applyFill="1" applyBorder="1" applyAlignment="1">
      <alignment horizontal="center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0" fillId="3" borderId="16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vertical="center" wrapText="1"/>
    </xf>
    <xf numFmtId="0" fontId="14" fillId="0" borderId="21" xfId="0" applyFont="1" applyBorder="1"/>
    <xf numFmtId="0" fontId="12" fillId="3" borderId="16" xfId="0" applyFont="1" applyFill="1" applyBorder="1" applyAlignment="1">
      <alignment horizontal="center" vertical="center" wrapText="1"/>
    </xf>
    <xf numFmtId="0" fontId="0" fillId="4" borderId="1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left" vertical="center"/>
    </xf>
    <xf numFmtId="0" fontId="0" fillId="5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3" borderId="12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left" vertical="center"/>
    </xf>
    <xf numFmtId="0" fontId="14" fillId="0" borderId="22" xfId="0" applyFont="1" applyBorder="1"/>
    <xf numFmtId="0" fontId="12" fillId="4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left" vertical="center" wrapText="1"/>
    </xf>
    <xf numFmtId="0" fontId="0" fillId="4" borderId="12" xfId="0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5" borderId="1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4" fillId="0" borderId="9" xfId="0" applyFont="1" applyBorder="1"/>
    <xf numFmtId="0" fontId="13" fillId="0" borderId="9" xfId="0" applyFont="1" applyBorder="1" applyAlignment="1">
      <alignment vertical="center"/>
    </xf>
    <xf numFmtId="0" fontId="13" fillId="3" borderId="9" xfId="0" applyFont="1" applyFill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0" fillId="3" borderId="10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9"/>
  <sheetViews>
    <sheetView tabSelected="1" workbookViewId="0">
      <selection activeCell="D14" sqref="D14"/>
    </sheetView>
  </sheetViews>
  <sheetFormatPr baseColWidth="10" defaultColWidth="12.6640625" defaultRowHeight="15" customHeight="1" x14ac:dyDescent="0.2"/>
  <cols>
    <col min="1" max="1" width="9.33203125" customWidth="1"/>
    <col min="2" max="2" width="7.5" customWidth="1"/>
    <col min="3" max="3" width="16" customWidth="1"/>
    <col min="4" max="4" width="9.33203125" customWidth="1"/>
    <col min="5" max="5" width="12.5" customWidth="1"/>
    <col min="6" max="6" width="13" customWidth="1"/>
    <col min="7" max="7" width="7.33203125" customWidth="1"/>
    <col min="8" max="8" width="14.5" customWidth="1"/>
    <col min="9" max="9" width="2.5" customWidth="1"/>
    <col min="10" max="14" width="9" customWidth="1"/>
    <col min="15" max="15" width="30.5" customWidth="1"/>
    <col min="16" max="16" width="13.6640625" customWidth="1"/>
    <col min="17" max="27" width="7.6640625" customWidth="1"/>
  </cols>
  <sheetData>
    <row r="1" spans="1:25" ht="16.5" customHeight="1" x14ac:dyDescent="0.2">
      <c r="A1" s="38" t="s">
        <v>0</v>
      </c>
      <c r="B1" s="39"/>
      <c r="C1" s="39"/>
      <c r="D1" s="40"/>
      <c r="E1" s="86" t="s">
        <v>1</v>
      </c>
      <c r="F1" s="26"/>
      <c r="G1" s="27"/>
      <c r="H1" s="27"/>
      <c r="I1" s="44"/>
      <c r="P1" s="1"/>
    </row>
    <row r="2" spans="1:25" ht="16.5" customHeight="1" x14ac:dyDescent="0.2">
      <c r="A2" s="41"/>
      <c r="B2" s="42"/>
      <c r="C2" s="42"/>
      <c r="D2" s="43"/>
      <c r="E2" s="86" t="s">
        <v>2</v>
      </c>
      <c r="F2" s="47"/>
      <c r="G2" s="27"/>
      <c r="H2" s="27"/>
      <c r="I2" s="45"/>
      <c r="P2" s="1"/>
    </row>
    <row r="3" spans="1:25" ht="16.5" customHeight="1" x14ac:dyDescent="0.2">
      <c r="A3" s="48" t="s">
        <v>3</v>
      </c>
      <c r="B3" s="39"/>
      <c r="C3" s="39"/>
      <c r="D3" s="40"/>
      <c r="E3" s="86" t="s">
        <v>4</v>
      </c>
      <c r="F3" s="26"/>
      <c r="G3" s="27"/>
      <c r="H3" s="27"/>
      <c r="I3" s="45"/>
      <c r="P3" s="1"/>
    </row>
    <row r="4" spans="1:25" ht="16.5" customHeight="1" x14ac:dyDescent="0.2">
      <c r="A4" s="41"/>
      <c r="B4" s="42"/>
      <c r="C4" s="42"/>
      <c r="D4" s="43"/>
      <c r="E4" s="86" t="s">
        <v>5</v>
      </c>
      <c r="F4" s="26"/>
      <c r="G4" s="27"/>
      <c r="H4" s="27"/>
      <c r="I4" s="45"/>
      <c r="P4" s="1"/>
    </row>
    <row r="5" spans="1:25" s="85" customFormat="1" ht="19.5" customHeight="1" x14ac:dyDescent="0.2">
      <c r="A5" s="87" t="s">
        <v>6</v>
      </c>
      <c r="B5" s="88"/>
      <c r="C5" s="88"/>
      <c r="D5" s="88"/>
      <c r="E5" s="89" t="s">
        <v>7</v>
      </c>
      <c r="F5" s="90"/>
      <c r="G5" s="88"/>
      <c r="H5" s="88"/>
      <c r="I5" s="45"/>
      <c r="P5" s="86"/>
    </row>
    <row r="6" spans="1:25" s="85" customFormat="1" ht="18" customHeight="1" x14ac:dyDescent="0.2">
      <c r="A6" s="54" t="s">
        <v>8</v>
      </c>
      <c r="B6" s="53" t="s">
        <v>9</v>
      </c>
      <c r="C6" s="54" t="s">
        <v>10</v>
      </c>
      <c r="D6" s="53" t="s">
        <v>11</v>
      </c>
      <c r="E6" s="54" t="s">
        <v>12</v>
      </c>
      <c r="F6" s="84" t="s">
        <v>13</v>
      </c>
      <c r="G6" s="54" t="s">
        <v>14</v>
      </c>
      <c r="H6" s="53" t="s">
        <v>15</v>
      </c>
      <c r="I6" s="45"/>
      <c r="P6" s="86"/>
    </row>
    <row r="7" spans="1:25" s="85" customFormat="1" ht="18" customHeight="1" x14ac:dyDescent="0.2">
      <c r="A7" s="91"/>
      <c r="B7" s="54"/>
      <c r="C7" s="91"/>
      <c r="D7" s="92"/>
      <c r="E7" s="93">
        <f>IFERROR(VLOOKUP(B7, Calc!A:B, 2, FALSE), 0)+IF(A7&lt;=69, 0,IF(A7&lt;=79, 3,IF(A7&lt;=89, 6, 9)))</f>
        <v>0</v>
      </c>
      <c r="F7" s="94" t="b">
        <f t="shared" ref="F7:F15" si="0">TRUE</f>
        <v>1</v>
      </c>
      <c r="G7" s="65"/>
      <c r="H7" s="54">
        <f t="shared" ref="H7:H15" si="1">IF(ISBLANK(B7),0, G7*E7+IF(F7, IF(B7="v1", 79, 93), 0))</f>
        <v>0</v>
      </c>
      <c r="I7" s="45"/>
      <c r="P7" s="86"/>
    </row>
    <row r="8" spans="1:25" s="85" customFormat="1" ht="18" customHeight="1" x14ac:dyDescent="0.2">
      <c r="A8" s="54"/>
      <c r="B8" s="53"/>
      <c r="C8" s="54"/>
      <c r="D8" s="95"/>
      <c r="E8" s="92">
        <f>IFERROR(VLOOKUP(B8, Calc!A:B, 2, FALSE), 0)+IF(A8&lt;=69, 0,IF(A8&lt;=79, 3,IF(A8&lt;=89, 6, 9)))</f>
        <v>0</v>
      </c>
      <c r="F8" s="96" t="b">
        <f t="shared" si="0"/>
        <v>1</v>
      </c>
      <c r="G8" s="54"/>
      <c r="H8" s="53">
        <f t="shared" si="1"/>
        <v>0</v>
      </c>
      <c r="I8" s="45"/>
      <c r="P8" s="86"/>
    </row>
    <row r="9" spans="1:25" s="85" customFormat="1" ht="18" customHeight="1" x14ac:dyDescent="0.2">
      <c r="A9" s="91"/>
      <c r="B9" s="54"/>
      <c r="C9" s="91"/>
      <c r="D9" s="92"/>
      <c r="E9" s="97">
        <f>IFERROR(VLOOKUP(B9, Calc!A:B, 2, FALSE), 0)+IF(A9&lt;=69, 0,IF(A9&lt;=79, 3,IF(A9&lt;=89, 6, 9)))</f>
        <v>0</v>
      </c>
      <c r="F9" s="94" t="b">
        <f t="shared" si="0"/>
        <v>1</v>
      </c>
      <c r="G9" s="65"/>
      <c r="H9" s="54">
        <f t="shared" si="1"/>
        <v>0</v>
      </c>
      <c r="I9" s="45"/>
      <c r="P9" s="86"/>
    </row>
    <row r="10" spans="1:25" s="85" customFormat="1" ht="18" customHeight="1" x14ac:dyDescent="0.2">
      <c r="A10" s="54"/>
      <c r="B10" s="53"/>
      <c r="C10" s="54"/>
      <c r="D10" s="95"/>
      <c r="E10" s="92">
        <f>IFERROR(VLOOKUP(B10, Calc!A:B, 2, FALSE), 0)+IF(A10&lt;=69, 0,IF(A10&lt;=79, 3,IF(A10&lt;=89, 6, 9)))</f>
        <v>0</v>
      </c>
      <c r="F10" s="96" t="b">
        <f t="shared" si="0"/>
        <v>1</v>
      </c>
      <c r="G10" s="54"/>
      <c r="H10" s="53">
        <f t="shared" si="1"/>
        <v>0</v>
      </c>
      <c r="I10" s="45"/>
      <c r="P10" s="86"/>
    </row>
    <row r="11" spans="1:25" s="85" customFormat="1" ht="18" customHeight="1" x14ac:dyDescent="0.2">
      <c r="A11" s="91"/>
      <c r="B11" s="54"/>
      <c r="C11" s="91"/>
      <c r="D11" s="92"/>
      <c r="E11" s="97">
        <f>IFERROR(VLOOKUP(B11, Calc!A:B, 2, FALSE), 0)+IF(A11&lt;=69, 0,IF(A11&lt;=79, 3,IF(A11&lt;=89, 6, 9)))</f>
        <v>0</v>
      </c>
      <c r="F11" s="94" t="b">
        <f t="shared" si="0"/>
        <v>1</v>
      </c>
      <c r="G11" s="65"/>
      <c r="H11" s="54">
        <f t="shared" si="1"/>
        <v>0</v>
      </c>
      <c r="I11" s="45"/>
      <c r="P11" s="86"/>
      <c r="Q11" s="86"/>
    </row>
    <row r="12" spans="1:25" s="85" customFormat="1" ht="18" customHeight="1" x14ac:dyDescent="0.2">
      <c r="A12" s="54"/>
      <c r="B12" s="53"/>
      <c r="C12" s="54"/>
      <c r="D12" s="95"/>
      <c r="E12" s="92">
        <f>IFERROR(VLOOKUP(B12, Calc!A:B, 2, FALSE), 0)+IF(A12&lt;=69, 0,IF(A12&lt;=79, 3,IF(A12&lt;=89, 6, 9)))</f>
        <v>0</v>
      </c>
      <c r="F12" s="96" t="b">
        <f t="shared" si="0"/>
        <v>1</v>
      </c>
      <c r="G12" s="54"/>
      <c r="H12" s="53">
        <f t="shared" si="1"/>
        <v>0</v>
      </c>
      <c r="I12" s="45"/>
      <c r="P12" s="86"/>
    </row>
    <row r="13" spans="1:25" s="85" customFormat="1" ht="18" customHeight="1" x14ac:dyDescent="0.2">
      <c r="A13" s="91"/>
      <c r="B13" s="54"/>
      <c r="C13" s="91"/>
      <c r="D13" s="92"/>
      <c r="E13" s="97">
        <f>IFERROR(VLOOKUP(B13, Calc!A:B, 2, FALSE), 0)+IF(A13&lt;=69, 0,IF(A13&lt;=79, 3,IF(A13&lt;=89, 6, 9)))</f>
        <v>0</v>
      </c>
      <c r="F13" s="94" t="b">
        <f t="shared" si="0"/>
        <v>1</v>
      </c>
      <c r="G13" s="65"/>
      <c r="H13" s="54">
        <f t="shared" si="1"/>
        <v>0</v>
      </c>
      <c r="I13" s="45"/>
      <c r="P13" s="98"/>
      <c r="Q13" s="99"/>
      <c r="R13" s="99"/>
      <c r="S13" s="99"/>
      <c r="T13" s="99"/>
      <c r="U13" s="99"/>
      <c r="V13" s="99"/>
      <c r="W13" s="99"/>
      <c r="X13" s="99"/>
      <c r="Y13" s="99"/>
    </row>
    <row r="14" spans="1:25" s="85" customFormat="1" ht="18" customHeight="1" x14ac:dyDescent="0.2">
      <c r="A14" s="54"/>
      <c r="B14" s="53"/>
      <c r="C14" s="54"/>
      <c r="D14" s="95"/>
      <c r="E14" s="92">
        <f>IFERROR(VLOOKUP(B14, Calc!A:B, 2, FALSE), 0)+IF(A14&lt;=69, 0,IF(A14&lt;=79, 3,IF(A14&lt;=89, 6, 9)))</f>
        <v>0</v>
      </c>
      <c r="F14" s="96" t="b">
        <f t="shared" si="0"/>
        <v>1</v>
      </c>
      <c r="G14" s="54"/>
      <c r="H14" s="53">
        <f t="shared" si="1"/>
        <v>0</v>
      </c>
      <c r="I14" s="45"/>
      <c r="P14" s="100"/>
      <c r="Q14" s="100"/>
      <c r="R14" s="100"/>
      <c r="S14" s="100"/>
      <c r="T14" s="100"/>
      <c r="U14" s="100"/>
      <c r="V14" s="100"/>
      <c r="W14" s="100"/>
      <c r="X14" s="100"/>
      <c r="Y14" s="100"/>
    </row>
    <row r="15" spans="1:25" s="85" customFormat="1" ht="18" customHeight="1" x14ac:dyDescent="0.2">
      <c r="A15" s="91"/>
      <c r="B15" s="54"/>
      <c r="C15" s="91"/>
      <c r="D15" s="92"/>
      <c r="E15" s="97">
        <f>IFERROR(VLOOKUP(B15, Calc!A:B, 2, FALSE), 0)+IF(A15&lt;=69, 0,IF(A15&lt;=79, 3,IF(A15&lt;=89, 6, 9)))</f>
        <v>0</v>
      </c>
      <c r="F15" s="94" t="b">
        <f t="shared" si="0"/>
        <v>1</v>
      </c>
      <c r="G15" s="65"/>
      <c r="H15" s="54">
        <f t="shared" si="1"/>
        <v>0</v>
      </c>
      <c r="I15" s="45"/>
      <c r="P15" s="86"/>
      <c r="Q15" s="101"/>
      <c r="R15" s="99"/>
      <c r="S15" s="99"/>
      <c r="T15" s="99"/>
      <c r="U15" s="99"/>
    </row>
    <row r="16" spans="1:25" ht="18" customHeight="1" x14ac:dyDescent="0.2">
      <c r="A16" s="8"/>
      <c r="B16" s="9"/>
      <c r="C16" s="8"/>
      <c r="D16" s="10"/>
      <c r="E16" s="10"/>
      <c r="F16" s="10"/>
      <c r="G16" s="8"/>
      <c r="H16" s="8"/>
      <c r="I16" s="45"/>
      <c r="P16" s="1"/>
    </row>
    <row r="17" spans="1:16" s="85" customFormat="1" ht="18" customHeight="1" x14ac:dyDescent="0.2">
      <c r="A17" s="50" t="s">
        <v>16</v>
      </c>
      <c r="B17" s="51"/>
      <c r="C17" s="51"/>
      <c r="D17" s="51"/>
      <c r="E17" s="52"/>
      <c r="F17" s="80" t="s">
        <v>12</v>
      </c>
      <c r="G17" s="81" t="s">
        <v>14</v>
      </c>
      <c r="H17" s="53" t="s">
        <v>15</v>
      </c>
      <c r="I17" s="45"/>
      <c r="P17" s="86"/>
    </row>
    <row r="18" spans="1:16" s="85" customFormat="1" ht="18" customHeight="1" x14ac:dyDescent="0.2">
      <c r="A18" s="64"/>
      <c r="B18" s="51"/>
      <c r="C18" s="51"/>
      <c r="D18" s="51"/>
      <c r="E18" s="52"/>
      <c r="F18" s="82"/>
      <c r="G18" s="83"/>
      <c r="H18" s="54">
        <f t="shared" ref="H18:H23" si="2">G18*F18</f>
        <v>0</v>
      </c>
      <c r="I18" s="45"/>
      <c r="P18" s="86"/>
    </row>
    <row r="19" spans="1:16" s="85" customFormat="1" ht="18" customHeight="1" x14ac:dyDescent="0.2">
      <c r="A19" s="69" t="s">
        <v>17</v>
      </c>
      <c r="B19" s="51"/>
      <c r="C19" s="51"/>
      <c r="D19" s="51"/>
      <c r="E19" s="52"/>
      <c r="F19" s="84">
        <v>0</v>
      </c>
      <c r="G19" s="81"/>
      <c r="H19" s="53">
        <f t="shared" si="2"/>
        <v>0</v>
      </c>
      <c r="I19" s="45"/>
      <c r="P19" s="86"/>
    </row>
    <row r="20" spans="1:16" s="85" customFormat="1" ht="18" customHeight="1" x14ac:dyDescent="0.2">
      <c r="A20" s="66" t="s">
        <v>18</v>
      </c>
      <c r="B20" s="51"/>
      <c r="C20" s="51"/>
      <c r="D20" s="51"/>
      <c r="E20" s="52"/>
      <c r="F20" s="82">
        <v>11</v>
      </c>
      <c r="G20" s="83"/>
      <c r="H20" s="54">
        <f t="shared" si="2"/>
        <v>0</v>
      </c>
      <c r="I20" s="45"/>
      <c r="P20" s="86"/>
    </row>
    <row r="21" spans="1:16" s="85" customFormat="1" ht="18" customHeight="1" x14ac:dyDescent="0.2">
      <c r="A21" s="69" t="s">
        <v>19</v>
      </c>
      <c r="B21" s="51"/>
      <c r="C21" s="51"/>
      <c r="D21" s="51"/>
      <c r="E21" s="52"/>
      <c r="F21" s="84">
        <v>0</v>
      </c>
      <c r="G21" s="81"/>
      <c r="H21" s="53">
        <f t="shared" si="2"/>
        <v>0</v>
      </c>
      <c r="I21" s="45"/>
      <c r="P21" s="86"/>
    </row>
    <row r="22" spans="1:16" s="85" customFormat="1" ht="18" customHeight="1" x14ac:dyDescent="0.2">
      <c r="A22" s="66"/>
      <c r="B22" s="51"/>
      <c r="C22" s="51"/>
      <c r="D22" s="51"/>
      <c r="E22" s="52"/>
      <c r="F22" s="82"/>
      <c r="G22" s="83"/>
      <c r="H22" s="54">
        <f t="shared" si="2"/>
        <v>0</v>
      </c>
      <c r="I22" s="45"/>
      <c r="P22" s="86"/>
    </row>
    <row r="23" spans="1:16" s="85" customFormat="1" ht="18" customHeight="1" x14ac:dyDescent="0.2">
      <c r="A23" s="69" t="s">
        <v>20</v>
      </c>
      <c r="B23" s="51"/>
      <c r="C23" s="51"/>
      <c r="D23" s="51"/>
      <c r="E23" s="52"/>
      <c r="F23" s="84">
        <v>5</v>
      </c>
      <c r="G23" s="81"/>
      <c r="H23" s="53">
        <f t="shared" si="2"/>
        <v>0</v>
      </c>
      <c r="I23" s="45"/>
      <c r="P23" s="86"/>
    </row>
    <row r="24" spans="1:16" ht="18.75" customHeight="1" x14ac:dyDescent="0.2">
      <c r="F24" s="10"/>
      <c r="G24" s="10"/>
      <c r="I24" s="45"/>
      <c r="P24" s="1"/>
    </row>
    <row r="25" spans="1:16" ht="18" customHeight="1" x14ac:dyDescent="0.2">
      <c r="A25" s="28" t="s">
        <v>21</v>
      </c>
      <c r="B25" s="29"/>
      <c r="C25" s="29"/>
      <c r="D25" s="29"/>
      <c r="E25" s="30"/>
      <c r="F25" s="6" t="s">
        <v>22</v>
      </c>
      <c r="G25" s="4" t="s">
        <v>14</v>
      </c>
      <c r="H25" s="3" t="s">
        <v>15</v>
      </c>
      <c r="I25" s="45"/>
      <c r="P25" s="1"/>
    </row>
    <row r="26" spans="1:16" ht="24" customHeight="1" x14ac:dyDescent="0.2">
      <c r="A26" s="31" t="s">
        <v>23</v>
      </c>
      <c r="B26" s="29"/>
      <c r="C26" s="29"/>
      <c r="D26" s="29"/>
      <c r="E26" s="30"/>
      <c r="F26" s="4"/>
      <c r="G26" s="5"/>
      <c r="H26" s="2">
        <f>G26</f>
        <v>0</v>
      </c>
      <c r="I26" s="45"/>
      <c r="P26" s="1"/>
    </row>
    <row r="27" spans="1:16" ht="18.75" customHeight="1" x14ac:dyDescent="0.2">
      <c r="A27" s="32" t="s">
        <v>24</v>
      </c>
      <c r="B27" s="29"/>
      <c r="C27" s="29"/>
      <c r="D27" s="29"/>
      <c r="E27" s="30"/>
      <c r="F27" s="33"/>
      <c r="G27" s="29"/>
      <c r="H27" s="30"/>
      <c r="I27" s="45"/>
    </row>
    <row r="28" spans="1:16" ht="18.75" customHeight="1" x14ac:dyDescent="0.2">
      <c r="A28" s="34" t="s">
        <v>25</v>
      </c>
      <c r="B28" s="29"/>
      <c r="C28" s="29"/>
      <c r="D28" s="29"/>
      <c r="E28" s="30"/>
      <c r="F28" s="35"/>
      <c r="G28" s="29"/>
      <c r="H28" s="30"/>
      <c r="I28" s="45"/>
      <c r="P28" s="1"/>
    </row>
    <row r="29" spans="1:16" ht="18.75" customHeight="1" x14ac:dyDescent="0.2">
      <c r="A29" s="32" t="s">
        <v>26</v>
      </c>
      <c r="B29" s="29"/>
      <c r="C29" s="29"/>
      <c r="D29" s="29"/>
      <c r="E29" s="30"/>
      <c r="F29" s="33"/>
      <c r="G29" s="29"/>
      <c r="H29" s="30"/>
      <c r="I29" s="45"/>
      <c r="P29" s="1"/>
    </row>
    <row r="30" spans="1:16" ht="18.75" customHeight="1" x14ac:dyDescent="0.2">
      <c r="A30" s="34" t="s">
        <v>27</v>
      </c>
      <c r="B30" s="29"/>
      <c r="C30" s="29"/>
      <c r="D30" s="29"/>
      <c r="E30" s="30"/>
      <c r="F30" s="35"/>
      <c r="G30" s="29"/>
      <c r="H30" s="30"/>
      <c r="I30" s="45"/>
      <c r="P30" s="1"/>
    </row>
    <row r="31" spans="1:16" ht="18.75" customHeight="1" x14ac:dyDescent="0.2">
      <c r="E31" s="11"/>
      <c r="F31" s="10"/>
      <c r="G31" s="12"/>
      <c r="I31" s="45"/>
      <c r="P31" s="1"/>
    </row>
    <row r="32" spans="1:16" x14ac:dyDescent="0.2">
      <c r="A32" s="50" t="s">
        <v>28</v>
      </c>
      <c r="B32" s="51"/>
      <c r="C32" s="51"/>
      <c r="D32" s="51"/>
      <c r="E32" s="52"/>
      <c r="F32" s="53"/>
      <c r="G32" s="54" t="s">
        <v>14</v>
      </c>
      <c r="H32" s="53" t="s">
        <v>15</v>
      </c>
      <c r="I32" s="45"/>
      <c r="P32" s="1"/>
    </row>
    <row r="33" spans="1:27" x14ac:dyDescent="0.2">
      <c r="A33" s="79" t="s">
        <v>29</v>
      </c>
      <c r="B33" s="51"/>
      <c r="C33" s="51"/>
      <c r="D33" s="51"/>
      <c r="E33" s="52"/>
      <c r="F33" s="54"/>
      <c r="G33" s="65">
        <v>0</v>
      </c>
      <c r="H33" s="65">
        <f>IF(G33&gt;0,MAX(G33*25,150),0)</f>
        <v>0</v>
      </c>
      <c r="I33" s="45"/>
      <c r="P33" s="1"/>
    </row>
    <row r="34" spans="1:27" ht="18.75" customHeight="1" x14ac:dyDescent="0.2">
      <c r="E34" s="11"/>
      <c r="F34" s="13"/>
      <c r="G34" s="14"/>
      <c r="I34" s="45"/>
      <c r="P34" s="1"/>
    </row>
    <row r="35" spans="1:27" ht="18" customHeight="1" x14ac:dyDescent="0.2">
      <c r="A35" s="50" t="s">
        <v>30</v>
      </c>
      <c r="B35" s="51"/>
      <c r="C35" s="51"/>
      <c r="D35" s="51"/>
      <c r="E35" s="52"/>
      <c r="F35" s="63" t="s">
        <v>12</v>
      </c>
      <c r="G35" s="77" t="s">
        <v>14</v>
      </c>
      <c r="H35" s="53" t="s">
        <v>15</v>
      </c>
      <c r="I35" s="45"/>
      <c r="P35" s="1"/>
    </row>
    <row r="36" spans="1:27" ht="18" customHeight="1" x14ac:dyDescent="0.2">
      <c r="A36" s="66" t="s">
        <v>31</v>
      </c>
      <c r="B36" s="51"/>
      <c r="C36" s="51"/>
      <c r="D36" s="51"/>
      <c r="E36" s="52"/>
      <c r="F36" s="54">
        <v>12</v>
      </c>
      <c r="G36" s="65"/>
      <c r="H36" s="54">
        <f t="shared" ref="H36:H45" si="3">F36*G36</f>
        <v>0</v>
      </c>
      <c r="I36" s="45"/>
      <c r="P36" s="1"/>
    </row>
    <row r="37" spans="1:27" ht="18" customHeight="1" x14ac:dyDescent="0.2">
      <c r="A37" s="69" t="s">
        <v>32</v>
      </c>
      <c r="B37" s="51"/>
      <c r="C37" s="51"/>
      <c r="D37" s="51"/>
      <c r="E37" s="52"/>
      <c r="F37" s="53">
        <v>15</v>
      </c>
      <c r="G37" s="54"/>
      <c r="H37" s="53">
        <f t="shared" si="3"/>
        <v>0</v>
      </c>
      <c r="I37" s="45"/>
      <c r="P37" s="1"/>
    </row>
    <row r="38" spans="1:27" ht="18" customHeight="1" x14ac:dyDescent="0.2">
      <c r="A38" s="66" t="s">
        <v>33</v>
      </c>
      <c r="B38" s="51"/>
      <c r="C38" s="51"/>
      <c r="D38" s="51"/>
      <c r="E38" s="52"/>
      <c r="F38" s="54">
        <v>15</v>
      </c>
      <c r="G38" s="65"/>
      <c r="H38" s="54">
        <f t="shared" si="3"/>
        <v>0</v>
      </c>
      <c r="I38" s="45"/>
      <c r="P38" s="1"/>
    </row>
    <row r="39" spans="1:27" ht="18" customHeight="1" x14ac:dyDescent="0.2">
      <c r="A39" s="69" t="s">
        <v>34</v>
      </c>
      <c r="B39" s="51"/>
      <c r="C39" s="51"/>
      <c r="D39" s="51"/>
      <c r="E39" s="52"/>
      <c r="F39" s="53"/>
      <c r="G39" s="54"/>
      <c r="H39" s="53">
        <f t="shared" si="3"/>
        <v>0</v>
      </c>
      <c r="I39" s="45"/>
      <c r="P39" s="1"/>
    </row>
    <row r="40" spans="1:27" ht="18" customHeight="1" x14ac:dyDescent="0.2">
      <c r="A40" s="66" t="s">
        <v>35</v>
      </c>
      <c r="B40" s="51"/>
      <c r="C40" s="51"/>
      <c r="D40" s="51"/>
      <c r="E40" s="52"/>
      <c r="F40" s="54">
        <v>10</v>
      </c>
      <c r="G40" s="65"/>
      <c r="H40" s="54">
        <f t="shared" si="3"/>
        <v>0</v>
      </c>
      <c r="I40" s="45"/>
      <c r="P40" s="1"/>
    </row>
    <row r="41" spans="1:27" ht="18" customHeight="1" x14ac:dyDescent="0.2">
      <c r="A41" s="69" t="s">
        <v>36</v>
      </c>
      <c r="B41" s="51"/>
      <c r="C41" s="51"/>
      <c r="D41" s="51"/>
      <c r="E41" s="52"/>
      <c r="F41" s="53"/>
      <c r="G41" s="54"/>
      <c r="H41" s="53">
        <f t="shared" si="3"/>
        <v>0</v>
      </c>
      <c r="I41" s="45"/>
    </row>
    <row r="42" spans="1:27" ht="18" customHeight="1" x14ac:dyDescent="0.2">
      <c r="A42" s="78" t="s">
        <v>37</v>
      </c>
      <c r="B42" s="51"/>
      <c r="C42" s="51"/>
      <c r="D42" s="51"/>
      <c r="E42" s="52"/>
      <c r="F42" s="54"/>
      <c r="G42" s="65"/>
      <c r="H42" s="54">
        <f t="shared" si="3"/>
        <v>0</v>
      </c>
      <c r="I42" s="45"/>
    </row>
    <row r="43" spans="1:27" ht="18" customHeight="1" x14ac:dyDescent="0.2">
      <c r="A43" s="69" t="s">
        <v>38</v>
      </c>
      <c r="B43" s="51"/>
      <c r="C43" s="51"/>
      <c r="D43" s="51"/>
      <c r="E43" s="52"/>
      <c r="F43" s="53"/>
      <c r="G43" s="54"/>
      <c r="H43" s="53">
        <f t="shared" si="3"/>
        <v>0</v>
      </c>
      <c r="I43" s="45"/>
    </row>
    <row r="44" spans="1:27" ht="18.75" customHeight="1" x14ac:dyDescent="0.2">
      <c r="A44" s="78" t="s">
        <v>39</v>
      </c>
      <c r="B44" s="51"/>
      <c r="C44" s="51"/>
      <c r="D44" s="51"/>
      <c r="E44" s="52"/>
      <c r="F44" s="54">
        <v>40</v>
      </c>
      <c r="G44" s="65"/>
      <c r="H44" s="54">
        <f t="shared" si="3"/>
        <v>0</v>
      </c>
      <c r="I44" s="4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.75" customHeight="1" x14ac:dyDescent="0.2">
      <c r="A45" s="69"/>
      <c r="B45" s="51"/>
      <c r="C45" s="51"/>
      <c r="D45" s="51"/>
      <c r="E45" s="52"/>
      <c r="F45" s="53"/>
      <c r="G45" s="54"/>
      <c r="H45" s="53">
        <f t="shared" si="3"/>
        <v>0</v>
      </c>
      <c r="I45" s="4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.75" customHeight="1" x14ac:dyDescent="0.2">
      <c r="A46" s="36"/>
      <c r="B46" s="29"/>
      <c r="C46" s="29"/>
      <c r="D46" s="29"/>
      <c r="E46" s="30"/>
      <c r="F46" s="15"/>
      <c r="G46" s="15"/>
      <c r="H46" s="16"/>
      <c r="I46" s="4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 x14ac:dyDescent="0.2">
      <c r="A47" s="50" t="s">
        <v>40</v>
      </c>
      <c r="B47" s="51"/>
      <c r="C47" s="51"/>
      <c r="D47" s="51"/>
      <c r="E47" s="52"/>
      <c r="F47" s="53" t="s">
        <v>12</v>
      </c>
      <c r="G47" s="54" t="s">
        <v>14</v>
      </c>
      <c r="H47" s="53" t="s">
        <v>15</v>
      </c>
      <c r="I47" s="44"/>
    </row>
    <row r="48" spans="1:27" ht="80" customHeight="1" x14ac:dyDescent="0.2">
      <c r="A48" s="55" t="s">
        <v>41</v>
      </c>
      <c r="B48" s="56"/>
      <c r="C48" s="56"/>
      <c r="D48" s="56"/>
      <c r="E48" s="56"/>
      <c r="F48" s="57">
        <v>30</v>
      </c>
      <c r="G48" s="58"/>
      <c r="H48" s="59">
        <f t="shared" ref="H48:H56" si="4">F48*G48</f>
        <v>0</v>
      </c>
      <c r="I48" s="45"/>
    </row>
    <row r="49" spans="1:15" ht="50" customHeight="1" x14ac:dyDescent="0.2">
      <c r="A49" s="60" t="s">
        <v>42</v>
      </c>
      <c r="B49" s="56"/>
      <c r="C49" s="56"/>
      <c r="D49" s="56"/>
      <c r="E49" s="61"/>
      <c r="F49" s="49">
        <v>10</v>
      </c>
      <c r="G49" s="62"/>
      <c r="H49" s="63">
        <f t="shared" si="4"/>
        <v>0</v>
      </c>
      <c r="I49" s="45"/>
      <c r="J49" s="17"/>
    </row>
    <row r="50" spans="1:15" ht="70" customHeight="1" x14ac:dyDescent="0.2">
      <c r="A50" s="55" t="s">
        <v>43</v>
      </c>
      <c r="B50" s="56"/>
      <c r="C50" s="56"/>
      <c r="D50" s="56"/>
      <c r="E50" s="56"/>
      <c r="F50" s="57">
        <f>6*0.7</f>
        <v>4.1999999999999993</v>
      </c>
      <c r="G50" s="58"/>
      <c r="H50" s="59">
        <f t="shared" si="4"/>
        <v>0</v>
      </c>
      <c r="I50" s="45"/>
      <c r="J50" s="17"/>
      <c r="O50" s="17"/>
    </row>
    <row r="51" spans="1:15" ht="45" customHeight="1" x14ac:dyDescent="0.2">
      <c r="A51" s="60" t="s">
        <v>44</v>
      </c>
      <c r="B51" s="56"/>
      <c r="C51" s="56"/>
      <c r="D51" s="56"/>
      <c r="E51" s="61"/>
      <c r="F51" s="49">
        <v>100</v>
      </c>
      <c r="G51" s="62"/>
      <c r="H51" s="63">
        <f t="shared" si="4"/>
        <v>0</v>
      </c>
      <c r="I51" s="45"/>
    </row>
    <row r="52" spans="1:15" ht="35" customHeight="1" x14ac:dyDescent="0.2">
      <c r="A52" s="55" t="s">
        <v>45</v>
      </c>
      <c r="B52" s="56"/>
      <c r="C52" s="56"/>
      <c r="D52" s="56"/>
      <c r="E52" s="56"/>
      <c r="F52" s="57">
        <v>12</v>
      </c>
      <c r="G52" s="58"/>
      <c r="H52" s="59">
        <f t="shared" si="4"/>
        <v>0</v>
      </c>
      <c r="I52" s="45"/>
    </row>
    <row r="53" spans="1:15" ht="50" customHeight="1" x14ac:dyDescent="0.2">
      <c r="A53" s="60" t="s">
        <v>46</v>
      </c>
      <c r="B53" s="56"/>
      <c r="C53" s="56"/>
      <c r="D53" s="56"/>
      <c r="E53" s="61"/>
      <c r="F53" s="49">
        <v>20</v>
      </c>
      <c r="G53" s="62"/>
      <c r="H53" s="63">
        <f t="shared" si="4"/>
        <v>0</v>
      </c>
      <c r="I53" s="45"/>
    </row>
    <row r="54" spans="1:15" ht="65" customHeight="1" x14ac:dyDescent="0.2">
      <c r="A54" s="55" t="s">
        <v>47</v>
      </c>
      <c r="B54" s="56"/>
      <c r="C54" s="56"/>
      <c r="D54" s="56"/>
      <c r="E54" s="56"/>
      <c r="F54" s="57">
        <v>25</v>
      </c>
      <c r="G54" s="58"/>
      <c r="H54" s="59">
        <f t="shared" si="4"/>
        <v>0</v>
      </c>
      <c r="I54" s="45"/>
    </row>
    <row r="55" spans="1:15" ht="75" customHeight="1" x14ac:dyDescent="0.2">
      <c r="A55" s="60" t="s">
        <v>48</v>
      </c>
      <c r="B55" s="56"/>
      <c r="C55" s="56"/>
      <c r="D55" s="56"/>
      <c r="E55" s="61"/>
      <c r="F55" s="49">
        <v>15</v>
      </c>
      <c r="G55" s="62"/>
      <c r="H55" s="63">
        <f t="shared" si="4"/>
        <v>0</v>
      </c>
      <c r="I55" s="45"/>
    </row>
    <row r="56" spans="1:15" ht="15.75" customHeight="1" x14ac:dyDescent="0.2">
      <c r="A56" s="64"/>
      <c r="B56" s="51"/>
      <c r="C56" s="51"/>
      <c r="D56" s="51"/>
      <c r="E56" s="52"/>
      <c r="F56" s="54"/>
      <c r="G56" s="65"/>
      <c r="H56" s="53">
        <f t="shared" si="4"/>
        <v>0</v>
      </c>
      <c r="I56" s="45"/>
    </row>
    <row r="57" spans="1:15" ht="15.75" customHeight="1" x14ac:dyDescent="0.2">
      <c r="A57" s="18"/>
      <c r="B57" s="1"/>
      <c r="C57" s="1"/>
      <c r="D57" s="1"/>
      <c r="E57" s="1"/>
      <c r="F57" s="19"/>
      <c r="G57" s="20"/>
      <c r="H57" s="7"/>
      <c r="I57" s="45"/>
    </row>
    <row r="58" spans="1:15" ht="18" customHeight="1" x14ac:dyDescent="0.2">
      <c r="A58" s="50" t="s">
        <v>49</v>
      </c>
      <c r="B58" s="51"/>
      <c r="C58" s="51"/>
      <c r="D58" s="51"/>
      <c r="E58" s="52"/>
      <c r="F58" s="53" t="s">
        <v>28</v>
      </c>
      <c r="G58" s="54" t="s">
        <v>14</v>
      </c>
      <c r="H58" s="53" t="s">
        <v>15</v>
      </c>
      <c r="I58" s="45"/>
    </row>
    <row r="59" spans="1:15" ht="15.75" customHeight="1" x14ac:dyDescent="0.2">
      <c r="A59" s="66" t="s">
        <v>50</v>
      </c>
      <c r="B59" s="51"/>
      <c r="C59" s="51"/>
      <c r="D59" s="51"/>
      <c r="E59" s="51"/>
      <c r="F59" s="67" t="b">
        <f t="shared" ref="F59:F78" si="5">TRUE</f>
        <v>1</v>
      </c>
      <c r="G59" s="68"/>
      <c r="H59" s="54">
        <f>G59*(103+IF(F59,25,0))</f>
        <v>0</v>
      </c>
      <c r="I59" s="45"/>
    </row>
    <row r="60" spans="1:15" ht="15.75" customHeight="1" x14ac:dyDescent="0.2">
      <c r="A60" s="69" t="s">
        <v>51</v>
      </c>
      <c r="B60" s="51"/>
      <c r="C60" s="51"/>
      <c r="D60" s="51"/>
      <c r="E60" s="70"/>
      <c r="F60" s="71" t="b">
        <f t="shared" si="5"/>
        <v>1</v>
      </c>
      <c r="G60" s="72"/>
      <c r="H60" s="53">
        <f>G60*(150+IF(F60,25,0))</f>
        <v>0</v>
      </c>
      <c r="I60" s="45"/>
    </row>
    <row r="61" spans="1:15" ht="15" customHeight="1" x14ac:dyDescent="0.2">
      <c r="A61" s="66" t="s">
        <v>52</v>
      </c>
      <c r="B61" s="51"/>
      <c r="C61" s="51"/>
      <c r="D61" s="51"/>
      <c r="E61" s="51"/>
      <c r="F61" s="67" t="b">
        <f t="shared" si="5"/>
        <v>1</v>
      </c>
      <c r="G61" s="68"/>
      <c r="H61" s="54">
        <f>G61*(250+IF(F61,25,0))</f>
        <v>0</v>
      </c>
      <c r="I61" s="45"/>
    </row>
    <row r="62" spans="1:15" ht="30" customHeight="1" x14ac:dyDescent="0.2">
      <c r="A62" s="60" t="s">
        <v>53</v>
      </c>
      <c r="B62" s="56"/>
      <c r="C62" s="56"/>
      <c r="D62" s="56"/>
      <c r="E62" s="61"/>
      <c r="F62" s="49" t="b">
        <f t="shared" si="5"/>
        <v>1</v>
      </c>
      <c r="G62" s="62"/>
      <c r="H62" s="63">
        <f>G62*(150+IF(F62,25,0))</f>
        <v>0</v>
      </c>
      <c r="I62" s="45"/>
    </row>
    <row r="63" spans="1:15" x14ac:dyDescent="0.2">
      <c r="A63" s="66" t="s">
        <v>54</v>
      </c>
      <c r="B63" s="51"/>
      <c r="C63" s="51"/>
      <c r="D63" s="51"/>
      <c r="E63" s="51"/>
      <c r="F63" s="67" t="b">
        <f t="shared" si="5"/>
        <v>1</v>
      </c>
      <c r="G63" s="68"/>
      <c r="H63" s="54">
        <f>G63*(130+IF(F63,25,0))</f>
        <v>0</v>
      </c>
      <c r="I63" s="45"/>
    </row>
    <row r="64" spans="1:15" ht="15.75" customHeight="1" x14ac:dyDescent="0.2">
      <c r="A64" s="69" t="s">
        <v>55</v>
      </c>
      <c r="B64" s="51"/>
      <c r="C64" s="51"/>
      <c r="D64" s="51"/>
      <c r="E64" s="70"/>
      <c r="F64" s="71" t="b">
        <f t="shared" si="5"/>
        <v>1</v>
      </c>
      <c r="G64" s="72"/>
      <c r="H64" s="53">
        <f>G64*(265+IF(F64,25,0))</f>
        <v>0</v>
      </c>
      <c r="I64" s="45"/>
    </row>
    <row r="65" spans="1:9" ht="30" customHeight="1" x14ac:dyDescent="0.2">
      <c r="A65" s="73" t="s">
        <v>56</v>
      </c>
      <c r="B65" s="51"/>
      <c r="C65" s="51"/>
      <c r="D65" s="51"/>
      <c r="E65" s="51"/>
      <c r="F65" s="67" t="b">
        <f t="shared" si="5"/>
        <v>1</v>
      </c>
      <c r="G65" s="68"/>
      <c r="H65" s="54">
        <f>G65*(285+IF(F64,25,0))</f>
        <v>0</v>
      </c>
      <c r="I65" s="45"/>
    </row>
    <row r="66" spans="1:9" ht="15.75" customHeight="1" x14ac:dyDescent="0.2">
      <c r="A66" s="69" t="s">
        <v>57</v>
      </c>
      <c r="B66" s="51"/>
      <c r="C66" s="51"/>
      <c r="D66" s="51"/>
      <c r="E66" s="70"/>
      <c r="F66" s="71" t="b">
        <f t="shared" si="5"/>
        <v>1</v>
      </c>
      <c r="G66" s="72"/>
      <c r="H66" s="53">
        <f>G66*(250+IF(F66,50,0))</f>
        <v>0</v>
      </c>
      <c r="I66" s="45"/>
    </row>
    <row r="67" spans="1:9" ht="15" customHeight="1" x14ac:dyDescent="0.2">
      <c r="A67" s="66" t="s">
        <v>58</v>
      </c>
      <c r="B67" s="51"/>
      <c r="C67" s="51"/>
      <c r="D67" s="51"/>
      <c r="E67" s="51"/>
      <c r="F67" s="67" t="b">
        <f t="shared" si="5"/>
        <v>1</v>
      </c>
      <c r="G67" s="68"/>
      <c r="H67" s="54">
        <f>G67*(350+IF(F67,50,0))</f>
        <v>0</v>
      </c>
      <c r="I67" s="45"/>
    </row>
    <row r="68" spans="1:9" ht="30" customHeight="1" x14ac:dyDescent="0.2">
      <c r="A68" s="60" t="s">
        <v>59</v>
      </c>
      <c r="B68" s="56"/>
      <c r="C68" s="56"/>
      <c r="D68" s="56"/>
      <c r="E68" s="61"/>
      <c r="F68" s="49" t="b">
        <f t="shared" si="5"/>
        <v>1</v>
      </c>
      <c r="G68" s="62"/>
      <c r="H68" s="63">
        <f>G68*(180+IF(F68,25,0))</f>
        <v>0</v>
      </c>
      <c r="I68" s="45"/>
    </row>
    <row r="69" spans="1:9" ht="15.75" customHeight="1" x14ac:dyDescent="0.2">
      <c r="A69" s="66" t="s">
        <v>60</v>
      </c>
      <c r="B69" s="51"/>
      <c r="C69" s="51"/>
      <c r="D69" s="51"/>
      <c r="E69" s="51"/>
      <c r="F69" s="67" t="b">
        <f t="shared" si="5"/>
        <v>1</v>
      </c>
      <c r="G69" s="68"/>
      <c r="H69" s="54">
        <f>G69*(150+IF(F69,25,0))</f>
        <v>0</v>
      </c>
      <c r="I69" s="45"/>
    </row>
    <row r="70" spans="1:9" ht="15.75" customHeight="1" x14ac:dyDescent="0.2">
      <c r="A70" s="60" t="s">
        <v>61</v>
      </c>
      <c r="B70" s="56"/>
      <c r="C70" s="56"/>
      <c r="D70" s="56"/>
      <c r="E70" s="61"/>
      <c r="F70" s="49" t="b">
        <f t="shared" si="5"/>
        <v>1</v>
      </c>
      <c r="G70" s="62"/>
      <c r="H70" s="63">
        <f>G70*(290+IF(F70,25,0))</f>
        <v>0</v>
      </c>
      <c r="I70" s="45"/>
    </row>
    <row r="71" spans="1:9" ht="15.75" customHeight="1" x14ac:dyDescent="0.2">
      <c r="A71" s="66" t="s">
        <v>62</v>
      </c>
      <c r="B71" s="51"/>
      <c r="C71" s="51"/>
      <c r="D71" s="51"/>
      <c r="E71" s="51"/>
      <c r="F71" s="67" t="b">
        <f t="shared" si="5"/>
        <v>1</v>
      </c>
      <c r="G71" s="68"/>
      <c r="H71" s="54">
        <f>G71*(57+IF(F71,25,0))</f>
        <v>0</v>
      </c>
      <c r="I71" s="45"/>
    </row>
    <row r="72" spans="1:9" ht="15.75" customHeight="1" x14ac:dyDescent="0.2">
      <c r="A72" s="60" t="s">
        <v>63</v>
      </c>
      <c r="B72" s="56"/>
      <c r="C72" s="56"/>
      <c r="D72" s="56"/>
      <c r="E72" s="61"/>
      <c r="F72" s="49" t="b">
        <f t="shared" si="5"/>
        <v>1</v>
      </c>
      <c r="G72" s="62"/>
      <c r="H72" s="63">
        <f>G72*(0+IF(F72,25,0))</f>
        <v>0</v>
      </c>
      <c r="I72" s="45"/>
    </row>
    <row r="73" spans="1:9" ht="15.75" customHeight="1" x14ac:dyDescent="0.2">
      <c r="A73" s="66" t="s">
        <v>64</v>
      </c>
      <c r="B73" s="51"/>
      <c r="C73" s="51"/>
      <c r="D73" s="51"/>
      <c r="E73" s="51"/>
      <c r="F73" s="67" t="b">
        <f t="shared" si="5"/>
        <v>1</v>
      </c>
      <c r="G73" s="68"/>
      <c r="H73" s="54">
        <f>G73*(87+IF(F73,25,0))</f>
        <v>0</v>
      </c>
      <c r="I73" s="45"/>
    </row>
    <row r="74" spans="1:9" ht="15.75" customHeight="1" x14ac:dyDescent="0.2">
      <c r="A74" s="60" t="s">
        <v>65</v>
      </c>
      <c r="B74" s="56"/>
      <c r="C74" s="56"/>
      <c r="D74" s="56"/>
      <c r="E74" s="61"/>
      <c r="F74" s="49" t="b">
        <f t="shared" si="5"/>
        <v>1</v>
      </c>
      <c r="G74" s="62"/>
      <c r="H74" s="63">
        <f>G74*(220+IF(F74,50,0))</f>
        <v>0</v>
      </c>
      <c r="I74" s="45"/>
    </row>
    <row r="75" spans="1:9" ht="15.75" customHeight="1" x14ac:dyDescent="0.2">
      <c r="A75" s="66" t="s">
        <v>66</v>
      </c>
      <c r="B75" s="51"/>
      <c r="C75" s="51"/>
      <c r="D75" s="51"/>
      <c r="E75" s="51"/>
      <c r="F75" s="67" t="b">
        <f t="shared" si="5"/>
        <v>1</v>
      </c>
      <c r="G75" s="68"/>
      <c r="H75" s="54">
        <f>G75*(490+IF(F75,50,0))</f>
        <v>0</v>
      </c>
      <c r="I75" s="45"/>
    </row>
    <row r="76" spans="1:9" ht="15.75" customHeight="1" x14ac:dyDescent="0.2">
      <c r="A76" s="60" t="s">
        <v>67</v>
      </c>
      <c r="B76" s="56"/>
      <c r="C76" s="56"/>
      <c r="D76" s="56"/>
      <c r="E76" s="61"/>
      <c r="F76" s="49" t="b">
        <f t="shared" si="5"/>
        <v>1</v>
      </c>
      <c r="G76" s="62"/>
      <c r="H76" s="63">
        <f>G76*(210+IF(F76,25,0))</f>
        <v>0</v>
      </c>
      <c r="I76" s="45"/>
    </row>
    <row r="77" spans="1:9" ht="15.75" customHeight="1" x14ac:dyDescent="0.2">
      <c r="A77" s="66" t="s">
        <v>68</v>
      </c>
      <c r="B77" s="51"/>
      <c r="C77" s="51"/>
      <c r="D77" s="51"/>
      <c r="E77" s="51"/>
      <c r="F77" s="67" t="b">
        <f t="shared" si="5"/>
        <v>1</v>
      </c>
      <c r="G77" s="68"/>
      <c r="H77" s="54">
        <f>G77*(190+IF(F77,25,0))</f>
        <v>0</v>
      </c>
      <c r="I77" s="45"/>
    </row>
    <row r="78" spans="1:9" ht="15.75" customHeight="1" x14ac:dyDescent="0.2">
      <c r="A78" s="74" t="s">
        <v>69</v>
      </c>
      <c r="B78" s="51"/>
      <c r="C78" s="51"/>
      <c r="D78" s="51"/>
      <c r="E78" s="52"/>
      <c r="F78" s="75" t="b">
        <f t="shared" si="5"/>
        <v>1</v>
      </c>
      <c r="G78" s="76"/>
      <c r="H78" s="53">
        <f>G78*(180+IF(F78,25,0))</f>
        <v>0</v>
      </c>
      <c r="I78" s="45"/>
    </row>
    <row r="79" spans="1:9" ht="15.75" customHeight="1" x14ac:dyDescent="0.2">
      <c r="A79" s="66"/>
      <c r="B79" s="51"/>
      <c r="C79" s="51"/>
      <c r="D79" s="51"/>
      <c r="E79" s="51"/>
      <c r="F79" s="67"/>
      <c r="G79" s="68"/>
      <c r="H79" s="54">
        <f>G79*(190+IF(F79,25,0))</f>
        <v>0</v>
      </c>
      <c r="I79" s="45"/>
    </row>
    <row r="80" spans="1:9" ht="15.75" customHeight="1" x14ac:dyDescent="0.2">
      <c r="F80" s="13"/>
      <c r="G80" s="13"/>
      <c r="H80" s="21"/>
      <c r="I80" s="45"/>
    </row>
    <row r="81" spans="1:15" ht="24.75" customHeight="1" x14ac:dyDescent="0.2">
      <c r="A81" s="37" t="s">
        <v>70</v>
      </c>
      <c r="B81" s="29"/>
      <c r="C81" s="29"/>
      <c r="D81" s="29"/>
      <c r="E81" s="29"/>
      <c r="F81" s="29"/>
      <c r="G81" s="30"/>
      <c r="H81" s="22">
        <f>SUM(H1:H79)</f>
        <v>0</v>
      </c>
      <c r="I81" s="45"/>
    </row>
    <row r="82" spans="1:15" ht="24.75" customHeight="1" x14ac:dyDescent="0.2">
      <c r="A82" s="37" t="s">
        <v>71</v>
      </c>
      <c r="B82" s="29"/>
      <c r="C82" s="29"/>
      <c r="D82" s="29"/>
      <c r="E82" s="29"/>
      <c r="F82" s="29"/>
      <c r="G82" s="30"/>
      <c r="H82" s="23">
        <f>(H81*0.23)+H81</f>
        <v>0</v>
      </c>
      <c r="I82" s="46"/>
    </row>
    <row r="83" spans="1:15" ht="15.75" customHeight="1" x14ac:dyDescent="0.2"/>
    <row r="84" spans="1:15" ht="15.75" customHeight="1" x14ac:dyDescent="0.2"/>
    <row r="85" spans="1:15" ht="15.75" customHeight="1" x14ac:dyDescent="0.2">
      <c r="O85" s="24"/>
    </row>
    <row r="86" spans="1:15" ht="15.75" customHeight="1" x14ac:dyDescent="0.2">
      <c r="O86" s="24"/>
    </row>
    <row r="87" spans="1:15" ht="15.75" customHeight="1" x14ac:dyDescent="0.2"/>
    <row r="88" spans="1:15" ht="15.75" customHeight="1" x14ac:dyDescent="0.2"/>
    <row r="89" spans="1:15" ht="15.75" customHeight="1" x14ac:dyDescent="0.2"/>
    <row r="90" spans="1:15" ht="15.75" customHeight="1" x14ac:dyDescent="0.2"/>
    <row r="91" spans="1:15" ht="15.75" customHeight="1" x14ac:dyDescent="0.2"/>
    <row r="92" spans="1:15" ht="15.75" customHeight="1" x14ac:dyDescent="0.2"/>
    <row r="93" spans="1:15" ht="15.75" customHeight="1" x14ac:dyDescent="0.2"/>
    <row r="94" spans="1:15" ht="15.75" customHeight="1" x14ac:dyDescent="0.2"/>
    <row r="95" spans="1:15" ht="15.75" customHeight="1" x14ac:dyDescent="0.2"/>
    <row r="96" spans="1:15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77">
    <mergeCell ref="A82:G82"/>
    <mergeCell ref="A1:D2"/>
    <mergeCell ref="F1:H1"/>
    <mergeCell ref="I1:I46"/>
    <mergeCell ref="F2:H2"/>
    <mergeCell ref="A3:D4"/>
    <mergeCell ref="F3:H3"/>
    <mergeCell ref="I47:I82"/>
    <mergeCell ref="A60:E60"/>
    <mergeCell ref="A61:E61"/>
    <mergeCell ref="A62:E62"/>
    <mergeCell ref="A63:E63"/>
    <mergeCell ref="A64:E64"/>
    <mergeCell ref="A65:E65"/>
    <mergeCell ref="A66:E66"/>
    <mergeCell ref="A67:E67"/>
    <mergeCell ref="A76:E76"/>
    <mergeCell ref="A77:E77"/>
    <mergeCell ref="A78:E78"/>
    <mergeCell ref="A79:E79"/>
    <mergeCell ref="A81:G81"/>
    <mergeCell ref="A59:E59"/>
    <mergeCell ref="A5:D5"/>
    <mergeCell ref="A48:E48"/>
    <mergeCell ref="A74:E74"/>
    <mergeCell ref="A75:E75"/>
    <mergeCell ref="A68:E68"/>
    <mergeCell ref="A69:E69"/>
    <mergeCell ref="A70:E70"/>
    <mergeCell ref="A71:E71"/>
    <mergeCell ref="A72:E72"/>
    <mergeCell ref="A73:E73"/>
    <mergeCell ref="A53:E53"/>
    <mergeCell ref="A54:E54"/>
    <mergeCell ref="A55:E55"/>
    <mergeCell ref="A56:E56"/>
    <mergeCell ref="A58:E58"/>
    <mergeCell ref="A47:E47"/>
    <mergeCell ref="A49:E49"/>
    <mergeCell ref="A50:E50"/>
    <mergeCell ref="A51:E51"/>
    <mergeCell ref="A52:E52"/>
    <mergeCell ref="F27:H27"/>
    <mergeCell ref="A28:E28"/>
    <mergeCell ref="F28:H28"/>
    <mergeCell ref="A45:E45"/>
    <mergeCell ref="A46:E46"/>
    <mergeCell ref="A40:E40"/>
    <mergeCell ref="A41:E41"/>
    <mergeCell ref="A42:E42"/>
    <mergeCell ref="A43:E43"/>
    <mergeCell ref="A44:E44"/>
    <mergeCell ref="A35:E35"/>
    <mergeCell ref="A36:E36"/>
    <mergeCell ref="A37:E37"/>
    <mergeCell ref="A38:E38"/>
    <mergeCell ref="A39:E39"/>
    <mergeCell ref="F29:H29"/>
    <mergeCell ref="A30:E30"/>
    <mergeCell ref="F30:H30"/>
    <mergeCell ref="A32:E32"/>
    <mergeCell ref="A33:E33"/>
    <mergeCell ref="A23:E23"/>
    <mergeCell ref="A25:E25"/>
    <mergeCell ref="A26:E26"/>
    <mergeCell ref="A27:E27"/>
    <mergeCell ref="A29:E29"/>
    <mergeCell ref="A18:E18"/>
    <mergeCell ref="A19:E19"/>
    <mergeCell ref="A20:E20"/>
    <mergeCell ref="A21:E21"/>
    <mergeCell ref="A22:E22"/>
    <mergeCell ref="F4:H4"/>
    <mergeCell ref="F5:H5"/>
    <mergeCell ref="P13:Y13"/>
    <mergeCell ref="Q15:U15"/>
    <mergeCell ref="A17:E17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7"/>
  <sheetViews>
    <sheetView workbookViewId="0"/>
  </sheetViews>
  <sheetFormatPr baseColWidth="10" defaultColWidth="12.6640625" defaultRowHeight="15" customHeight="1" x14ac:dyDescent="0.2"/>
  <cols>
    <col min="1" max="1" width="5.33203125" customWidth="1"/>
    <col min="2" max="2" width="5.1640625" customWidth="1"/>
  </cols>
  <sheetData>
    <row r="1" spans="1:2" x14ac:dyDescent="0.2">
      <c r="A1" s="17" t="s">
        <v>72</v>
      </c>
      <c r="B1" s="17" t="s">
        <v>73</v>
      </c>
    </row>
    <row r="2" spans="1:2" x14ac:dyDescent="0.2">
      <c r="A2" s="25" t="s">
        <v>74</v>
      </c>
      <c r="B2" s="25">
        <v>170</v>
      </c>
    </row>
    <row r="3" spans="1:2" x14ac:dyDescent="0.2">
      <c r="A3" s="25" t="s">
        <v>75</v>
      </c>
      <c r="B3" s="25">
        <v>170</v>
      </c>
    </row>
    <row r="4" spans="1:2" x14ac:dyDescent="0.2">
      <c r="A4" s="25" t="s">
        <v>76</v>
      </c>
      <c r="B4" s="25">
        <v>192</v>
      </c>
    </row>
    <row r="5" spans="1:2" x14ac:dyDescent="0.2">
      <c r="A5" s="25" t="s">
        <v>77</v>
      </c>
      <c r="B5" s="25">
        <v>175</v>
      </c>
    </row>
    <row r="6" spans="1:2" x14ac:dyDescent="0.2">
      <c r="A6" s="25" t="s">
        <v>78</v>
      </c>
      <c r="B6" s="25">
        <v>175</v>
      </c>
    </row>
    <row r="7" spans="1:2" x14ac:dyDescent="0.2">
      <c r="A7" s="25" t="s">
        <v>79</v>
      </c>
      <c r="B7" s="25">
        <v>192</v>
      </c>
    </row>
    <row r="8" spans="1:2" x14ac:dyDescent="0.2">
      <c r="A8" s="25" t="s">
        <v>80</v>
      </c>
      <c r="B8" s="25">
        <v>192</v>
      </c>
    </row>
    <row r="9" spans="1:2" x14ac:dyDescent="0.2">
      <c r="A9" s="25" t="s">
        <v>81</v>
      </c>
      <c r="B9" s="25">
        <v>198</v>
      </c>
    </row>
    <row r="10" spans="1:2" x14ac:dyDescent="0.2">
      <c r="A10" s="25" t="s">
        <v>82</v>
      </c>
      <c r="B10" s="25">
        <v>202</v>
      </c>
    </row>
    <row r="11" spans="1:2" x14ac:dyDescent="0.2">
      <c r="A11" s="25" t="s">
        <v>83</v>
      </c>
      <c r="B11" s="25">
        <v>202</v>
      </c>
    </row>
    <row r="12" spans="1:2" x14ac:dyDescent="0.2">
      <c r="A12" s="25" t="s">
        <v>84</v>
      </c>
      <c r="B12" s="25">
        <v>198</v>
      </c>
    </row>
    <row r="13" spans="1:2" x14ac:dyDescent="0.2">
      <c r="A13" s="25" t="s">
        <v>85</v>
      </c>
      <c r="B13" s="25">
        <v>216</v>
      </c>
    </row>
    <row r="14" spans="1:2" x14ac:dyDescent="0.2">
      <c r="A14" s="25" t="s">
        <v>86</v>
      </c>
      <c r="B14" s="25">
        <v>198</v>
      </c>
    </row>
    <row r="15" spans="1:2" x14ac:dyDescent="0.2">
      <c r="A15" s="25" t="s">
        <v>87</v>
      </c>
      <c r="B15" s="25">
        <v>200</v>
      </c>
    </row>
    <row r="16" spans="1:2" x14ac:dyDescent="0.2">
      <c r="A16" s="25" t="s">
        <v>88</v>
      </c>
      <c r="B16" s="25">
        <v>100</v>
      </c>
    </row>
    <row r="17" spans="1:2" x14ac:dyDescent="0.2">
      <c r="A17" s="25" t="s">
        <v>89</v>
      </c>
      <c r="B17" s="25">
        <v>150</v>
      </c>
    </row>
    <row r="18" spans="1:2" x14ac:dyDescent="0.2">
      <c r="A18" s="25" t="s">
        <v>90</v>
      </c>
      <c r="B18" s="25">
        <v>150</v>
      </c>
    </row>
    <row r="19" spans="1:2" x14ac:dyDescent="0.2">
      <c r="A19" s="25" t="s">
        <v>91</v>
      </c>
      <c r="B19" s="25">
        <v>165</v>
      </c>
    </row>
    <row r="20" spans="1:2" x14ac:dyDescent="0.2">
      <c r="A20" s="25" t="s">
        <v>92</v>
      </c>
      <c r="B20" s="25">
        <v>150</v>
      </c>
    </row>
    <row r="21" spans="1:2" x14ac:dyDescent="0.2">
      <c r="A21" s="25" t="s">
        <v>93</v>
      </c>
      <c r="B21" s="25">
        <v>152</v>
      </c>
    </row>
    <row r="22" spans="1:2" x14ac:dyDescent="0.2">
      <c r="A22" s="25" t="s">
        <v>94</v>
      </c>
      <c r="B22" s="25">
        <v>158</v>
      </c>
    </row>
    <row r="23" spans="1:2" x14ac:dyDescent="0.2">
      <c r="A23" s="25" t="s">
        <v>95</v>
      </c>
      <c r="B23" s="25">
        <v>160</v>
      </c>
    </row>
    <row r="24" spans="1:2" x14ac:dyDescent="0.2">
      <c r="A24" s="25" t="s">
        <v>96</v>
      </c>
      <c r="B24" s="25">
        <v>165</v>
      </c>
    </row>
    <row r="25" spans="1:2" x14ac:dyDescent="0.2">
      <c r="A25" s="25" t="s">
        <v>97</v>
      </c>
      <c r="B25" s="25">
        <v>160</v>
      </c>
    </row>
    <row r="26" spans="1:2" x14ac:dyDescent="0.2">
      <c r="A26" s="25" t="s">
        <v>98</v>
      </c>
      <c r="B26" s="25">
        <v>165</v>
      </c>
    </row>
    <row r="27" spans="1:2" x14ac:dyDescent="0.2">
      <c r="A27" s="25" t="s">
        <v>99</v>
      </c>
      <c r="B27" s="25">
        <v>165</v>
      </c>
    </row>
    <row r="28" spans="1:2" x14ac:dyDescent="0.2">
      <c r="A28" s="25" t="s">
        <v>100</v>
      </c>
      <c r="B28" s="25">
        <v>165</v>
      </c>
    </row>
    <row r="29" spans="1:2" x14ac:dyDescent="0.2">
      <c r="A29" s="25" t="s">
        <v>101</v>
      </c>
      <c r="B29" s="25">
        <v>165</v>
      </c>
    </row>
    <row r="30" spans="1:2" x14ac:dyDescent="0.2">
      <c r="A30" s="25" t="s">
        <v>102</v>
      </c>
      <c r="B30" s="25">
        <v>170</v>
      </c>
    </row>
    <row r="31" spans="1:2" x14ac:dyDescent="0.2">
      <c r="A31" s="25" t="s">
        <v>103</v>
      </c>
      <c r="B31" s="25">
        <v>170</v>
      </c>
    </row>
    <row r="32" spans="1:2" x14ac:dyDescent="0.2">
      <c r="A32" s="25" t="s">
        <v>104</v>
      </c>
      <c r="B32" s="25">
        <v>175</v>
      </c>
    </row>
    <row r="33" spans="1:2" x14ac:dyDescent="0.2">
      <c r="A33" s="25" t="s">
        <v>105</v>
      </c>
      <c r="B33" s="25">
        <v>244</v>
      </c>
    </row>
    <row r="34" spans="1:2" x14ac:dyDescent="0.2">
      <c r="A34" s="25" t="s">
        <v>106</v>
      </c>
      <c r="B34" s="25">
        <v>244</v>
      </c>
    </row>
    <row r="35" spans="1:2" x14ac:dyDescent="0.2">
      <c r="A35" s="25" t="s">
        <v>107</v>
      </c>
      <c r="B35" s="25">
        <v>244</v>
      </c>
    </row>
    <row r="36" spans="1:2" x14ac:dyDescent="0.2">
      <c r="A36" s="25" t="s">
        <v>108</v>
      </c>
      <c r="B36" s="25">
        <v>211</v>
      </c>
    </row>
    <row r="37" spans="1:2" x14ac:dyDescent="0.2">
      <c r="A37" s="25" t="s">
        <v>109</v>
      </c>
      <c r="B37" s="25">
        <v>211</v>
      </c>
    </row>
    <row r="38" spans="1:2" x14ac:dyDescent="0.2">
      <c r="A38" s="25" t="s">
        <v>110</v>
      </c>
      <c r="B38" s="25">
        <v>211</v>
      </c>
    </row>
    <row r="39" spans="1:2" x14ac:dyDescent="0.2">
      <c r="A39" s="25" t="s">
        <v>111</v>
      </c>
      <c r="B39" s="25">
        <v>178</v>
      </c>
    </row>
    <row r="40" spans="1:2" x14ac:dyDescent="0.2">
      <c r="A40" s="25" t="s">
        <v>112</v>
      </c>
      <c r="B40" s="25">
        <v>178</v>
      </c>
    </row>
    <row r="41" spans="1:2" x14ac:dyDescent="0.2">
      <c r="A41" s="25" t="s">
        <v>113</v>
      </c>
      <c r="B41" s="25">
        <v>199</v>
      </c>
    </row>
    <row r="42" spans="1:2" x14ac:dyDescent="0.2">
      <c r="A42" s="25" t="s">
        <v>114</v>
      </c>
      <c r="B42" s="25">
        <v>141</v>
      </c>
    </row>
    <row r="43" spans="1:2" x14ac:dyDescent="0.2">
      <c r="A43" s="25" t="s">
        <v>115</v>
      </c>
      <c r="B43" s="25">
        <v>141</v>
      </c>
    </row>
    <row r="44" spans="1:2" x14ac:dyDescent="0.2">
      <c r="A44" s="25" t="s">
        <v>116</v>
      </c>
      <c r="B44" s="25">
        <v>141</v>
      </c>
    </row>
    <row r="45" spans="1:2" x14ac:dyDescent="0.2">
      <c r="A45" s="25" t="s">
        <v>117</v>
      </c>
      <c r="B45" s="25">
        <v>141</v>
      </c>
    </row>
    <row r="46" spans="1:2" x14ac:dyDescent="0.2">
      <c r="A46" s="25" t="s">
        <v>118</v>
      </c>
      <c r="B46" s="25">
        <v>152</v>
      </c>
    </row>
    <row r="47" spans="1:2" x14ac:dyDescent="0.2">
      <c r="A47" s="25" t="s">
        <v>119</v>
      </c>
      <c r="B47" s="25">
        <v>197</v>
      </c>
    </row>
    <row r="48" spans="1:2" x14ac:dyDescent="0.2">
      <c r="A48" s="25" t="s">
        <v>120</v>
      </c>
      <c r="B48" s="25">
        <v>152</v>
      </c>
    </row>
    <row r="49" spans="1:2" x14ac:dyDescent="0.2">
      <c r="A49" s="25" t="s">
        <v>121</v>
      </c>
      <c r="B49" s="25">
        <v>152</v>
      </c>
    </row>
    <row r="50" spans="1:2" x14ac:dyDescent="0.2">
      <c r="A50" s="25" t="s">
        <v>122</v>
      </c>
      <c r="B50" s="25">
        <v>141</v>
      </c>
    </row>
    <row r="51" spans="1:2" x14ac:dyDescent="0.2">
      <c r="A51" s="25" t="s">
        <v>123</v>
      </c>
      <c r="B51" s="25">
        <v>152</v>
      </c>
    </row>
    <row r="52" spans="1:2" x14ac:dyDescent="0.2">
      <c r="A52" s="25" t="s">
        <v>124</v>
      </c>
      <c r="B52" s="25">
        <v>129</v>
      </c>
    </row>
    <row r="53" spans="1:2" x14ac:dyDescent="0.2">
      <c r="A53" s="25" t="s">
        <v>125</v>
      </c>
      <c r="B53" s="25">
        <v>129</v>
      </c>
    </row>
    <row r="54" spans="1:2" x14ac:dyDescent="0.2">
      <c r="A54" s="25" t="s">
        <v>126</v>
      </c>
      <c r="B54" s="25">
        <v>129</v>
      </c>
    </row>
    <row r="55" spans="1:2" x14ac:dyDescent="0.2">
      <c r="A55" s="25" t="s">
        <v>127</v>
      </c>
      <c r="B55" s="25">
        <v>129</v>
      </c>
    </row>
    <row r="56" spans="1:2" x14ac:dyDescent="0.2">
      <c r="A56" s="25" t="s">
        <v>128</v>
      </c>
      <c r="B56" s="25">
        <v>119</v>
      </c>
    </row>
    <row r="57" spans="1:2" x14ac:dyDescent="0.2">
      <c r="A57" s="25" t="s">
        <v>129</v>
      </c>
      <c r="B57" s="25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Hárok1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Sučanský Peter</dc:creator>
  <cp:lastModifiedBy>Peter Hutáš</cp:lastModifiedBy>
  <dcterms:created xsi:type="dcterms:W3CDTF">2025-05-19T08:52:23Z</dcterms:created>
  <dcterms:modified xsi:type="dcterms:W3CDTF">2026-01-13T22:53:42Z</dcterms:modified>
</cp:coreProperties>
</file>