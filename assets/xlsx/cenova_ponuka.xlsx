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ansky\Downloads\"/>
    </mc:Choice>
  </mc:AlternateContent>
  <xr:revisionPtr revIDLastSave="0" documentId="13_ncr:1_{72524F6F-8D92-4231-80B4-1FA33D18D18D}" xr6:coauthVersionLast="47" xr6:coauthVersionMax="47" xr10:uidLastSave="{00000000-0000-0000-0000-000000000000}"/>
  <bookViews>
    <workbookView xWindow="-120" yWindow="-120" windowWidth="29040" windowHeight="15840" xr2:uid="{5FC8ABD7-91EC-43C2-AEE0-C7ACA0609A82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A17" i="1"/>
  <c r="E7" i="1" s="1"/>
  <c r="G79" i="1"/>
  <c r="G78" i="1"/>
  <c r="G77" i="1"/>
  <c r="G76" i="1"/>
  <c r="G75" i="1"/>
  <c r="G74" i="1"/>
  <c r="G72" i="1"/>
  <c r="G71" i="1"/>
  <c r="G70" i="1"/>
  <c r="G69" i="1"/>
  <c r="G63" i="1"/>
  <c r="G60" i="1"/>
  <c r="G57" i="1"/>
  <c r="G55" i="1"/>
  <c r="G53" i="1"/>
  <c r="G50" i="1"/>
  <c r="G47" i="1"/>
  <c r="G43" i="1"/>
  <c r="G16" i="1"/>
  <c r="D18" i="1"/>
  <c r="E14" i="1" s="1"/>
  <c r="G14" i="1" s="1"/>
  <c r="G24" i="1"/>
  <c r="G20" i="1"/>
  <c r="B17" i="1"/>
  <c r="E8" i="1" s="1"/>
  <c r="G8" i="1" s="1"/>
  <c r="C17" i="1"/>
  <c r="E9" i="1" s="1"/>
  <c r="G9" i="1" s="1"/>
  <c r="D17" i="1"/>
  <c r="E10" i="1" s="1"/>
  <c r="G10" i="1" s="1"/>
  <c r="E17" i="1"/>
  <c r="E11" i="1" s="1"/>
  <c r="G11" i="1" s="1"/>
  <c r="A18" i="1"/>
  <c r="E12" i="1" s="1"/>
  <c r="G12" i="1" s="1"/>
  <c r="B18" i="1"/>
  <c r="E13" i="1" s="1"/>
  <c r="G13" i="1" s="1"/>
  <c r="C18" i="1"/>
  <c r="E15" i="1" s="1"/>
  <c r="G15" i="1" s="1"/>
  <c r="G22" i="1"/>
  <c r="G23" i="1"/>
  <c r="G21" i="1"/>
  <c r="G7" i="1" l="1"/>
  <c r="G82" i="1" l="1"/>
  <c r="G83" i="1" s="1"/>
</calcChain>
</file>

<file path=xl/sharedStrings.xml><?xml version="1.0" encoding="utf-8"?>
<sst xmlns="http://schemas.openxmlformats.org/spreadsheetml/2006/main" count="66" uniqueCount="55">
  <si>
    <t>CENOVÁ PONUKA INTERIÉROVÉ DVERE</t>
  </si>
  <si>
    <t>ROZMER</t>
  </si>
  <si>
    <t>MODEL</t>
  </si>
  <si>
    <t>MATERIÁL</t>
  </si>
  <si>
    <t>SKLO</t>
  </si>
  <si>
    <t>CENA ZA KUS</t>
  </si>
  <si>
    <t>POČET</t>
  </si>
  <si>
    <t>CENA BEZ DPH</t>
  </si>
  <si>
    <t>Rozeta - BB štandardný interiérový zámok</t>
  </si>
  <si>
    <t>Rozeta - WC zámok</t>
  </si>
  <si>
    <t>Rozeta - FAB zámok</t>
  </si>
  <si>
    <t>Montáž kľučiek a roziet 5€</t>
  </si>
  <si>
    <t>KĽUČKY nájdete na kluckynadvere.sk</t>
  </si>
  <si>
    <t>MONTÁŽ A DOVOZ</t>
  </si>
  <si>
    <t>Dovoz sa počíta podľa počtu kilometrov z výroby dverí, ktorá sa nachádza v obci Čachtice.</t>
  </si>
  <si>
    <t>ŠPECIÁLNE DOPLNKY</t>
  </si>
  <si>
    <t>Akciová montáž dverí so zárubňou 25 € / kus. Akcia platí pri počte 6 a viac kusov. Minimálna suma na dvoch montážnikov je 150 €.</t>
  </si>
  <si>
    <t>MOŽNÉ PRÍPLATKY</t>
  </si>
  <si>
    <t>Výplň dutinková drevotrieska: Dvere môžu byť vyplnené papierovou voštinou alebo dutinkovou drevotrieskou za príplatok 30 €. Voština je papierová vrstva, dutinková drevotrieska je z drevenej štiepky. Dutinkovú drevotriesku odporúčame do dverí V1, ale môžu ísť do všetkých dverí z kategórie Vanesa a Petra. Dutinková drevotrieska je tažšia, pevnejšia a izolačnejšia.</t>
  </si>
  <si>
    <t>Silikónové tesnenie do zárubne 10 €/kus: Do zárubne vyfrézujeme drážku a do nej sa vsunie silikónové tesnenie. To má výhodu, že pri zatváraní sú dvere tichšie a keď sú zatvorené, tak silikónové tesnenie eliminuje zvuk zo susednej miestnosti.</t>
  </si>
  <si>
    <t>Vytmelenie nerovností medzi stenou a zárubňou 6 €/kus: Pri osadení zárubne môže pri krivých stenách vzniknúť medzera medzi stenou a zárubňou. Túto medzeru vieme vyplniť akrylovým silikónom. Vzhľadom na elasticitu silikónu sa dajú vymeniť iba medzery do 0,5 cm.</t>
  </si>
  <si>
    <t>Vynášanie na 3. a vyššie poschodie bez výťahu: Za vynášanie na 3. a vyššie poschodie bez výťahu sa účtuje príplatok za vynesenie dverí, zárubní, materiálu a náradia 100 €.</t>
  </si>
  <si>
    <t>Obklad pôvodných oceľových zárubní 25 €/kus: Ak sa jedná o obklad pôvodných oveľových zárubní, tak sa účtuje príplatok 25€. Treba ale brať do úvahy, že pri obkladoch pôvodných zárubní sa stavebný otvor zúži o cca 3,5 cm z každej strany. To znamená cca 3,5 cm z hora a cca 7 cm zo šírky.</t>
  </si>
  <si>
    <t>Príplatok za zarezávanie obložiek 15 €/kus: Obložky sa pri montáži zarezávajú, ak sú nesprávne riešené stavebné otvory. Napríklad ak sú schody medzi miestnosťami viac ako 5 mm, ďalej ak nie sú úchyty na stenách na zárubnu a musí sa z obložky zrezávať, alebo ak je obklad v kúpelňi / WC do výšky menej ako je výška dverí a treva z obložky odfrézovať drážku.</t>
  </si>
  <si>
    <t>ŠPECIÁLNE PRÍPLATKY</t>
  </si>
  <si>
    <t>Cena zárubne na dvojkrídlové dvere 103 €. Montáž + 25 €.</t>
  </si>
  <si>
    <t>Posuvné dvere - kovanie Garniža 150 €. Montáž + 25 €.</t>
  </si>
  <si>
    <t>Posuvné dvere - kovanie do vstavaného púzdra 0 €. Zárubeň na vstavané púzdro 150 €. Montáž + 25 €.</t>
  </si>
  <si>
    <t>Posuvné dvere - kovanie Minima 250€. Montáž + 25 €.</t>
  </si>
  <si>
    <t>Príplatok za skryté pánty dvere 130 €. Montáž + 25 €.</t>
  </si>
  <si>
    <t>Príplatok za reverzné dvere 265 €. Montáž + 25 €.</t>
  </si>
  <si>
    <t>Dvojkrídlové bezfalcové dvere so zárubňou a montážou + 310 €</t>
  </si>
  <si>
    <t>Príplatok za dvojkrídlové posuvné dvere garniža 250 €. Montáž + 50 €.</t>
  </si>
  <si>
    <t>Príplatok za dvojkrídlové posuvné dvere Minima 350 €. Montáž + 50 €.</t>
  </si>
  <si>
    <t>CENA SPOLU BEZ DPH</t>
  </si>
  <si>
    <t>CENA SPOLU S DPH</t>
  </si>
  <si>
    <t>Príplatok za dvojkrídlové posuvné dvere do púzdra 0 €. Zárubeň na dvojkrídlové dvere do púzdra 180 €. Montáž + 25 €.</t>
  </si>
  <si>
    <t>Príplatok za steny hrubšie ako 20 cm 12 €/extra 10 cm: Ak sú steny hrubšie ako 20 cm, tak sa účtuje príplatok za extra materiál 12 € za každých extra 10 cm.</t>
  </si>
  <si>
    <t>Príplatok za dvere vyššie ako 207 cm 20 €/kus: Dvere s výškou 207 cm až 240 sm sú s príplatkom 20 €/kus za drahší materiál. Nie všetky materiály sa dajú dodať vo výške nad 207 cm.</t>
  </si>
  <si>
    <t>MENO:</t>
  </si>
  <si>
    <t>TELEFÓN:</t>
  </si>
  <si>
    <t>ADRESA:</t>
  </si>
  <si>
    <t>E-MAIL:</t>
  </si>
  <si>
    <t xml:space="preserve">OBLOŽKOVÁ ZÁRUBEŇ </t>
  </si>
  <si>
    <t>MATERIÁL:</t>
  </si>
  <si>
    <t>STOLÁRSTVO</t>
  </si>
  <si>
    <t>SUČANSKÝ</t>
  </si>
  <si>
    <t>Farebné krytky na pánty</t>
  </si>
  <si>
    <t>Farebné magnetické zámky</t>
  </si>
  <si>
    <t>Mušle na posuvné dvere</t>
  </si>
  <si>
    <t>Farebné skryté kovanie</t>
  </si>
  <si>
    <t>Náprstník na posuvné dvere</t>
  </si>
  <si>
    <t>Príplatok za striekanie</t>
  </si>
  <si>
    <t>Príplatok za dyhu</t>
  </si>
  <si>
    <t>Príplatok za sklo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</si>
</sst>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sz val="24"/>
      <color theme="0"/>
      <name val="Aptos Black"/>
      <family val="2"/>
    </font>
    <font>
      <b/>
      <sz val="24"/>
      <color theme="0"/>
      <name val="Aptos Black"/>
      <family val="2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1F1"/>
        <bgColor indexed="64"/>
      </patternFill>
    </fill>
    <fill>
      <patternFill patternType="solid">
        <fgColor rgb="FFF6D6D7"/>
        <bgColor indexed="64"/>
      </patternFill>
    </fill>
    <fill>
      <patternFill patternType="solid">
        <fgColor rgb="FFCE363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3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0" borderId="0" xfId="0" applyFont="1"/>
    <xf numFmtId="0" fontId="5" fillId="0" borderId="8" xfId="0" applyFont="1" applyBorder="1"/>
    <xf numFmtId="0" fontId="3" fillId="0" borderId="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3" borderId="9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 vertical="top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0" xfId="0" applyFont="1" applyFill="1" applyAlignment="1">
      <alignment horizont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Border="1"/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CE3639"/>
      <color rgb="FFF6D6D7"/>
      <color rgb="FFF8F1F1"/>
      <color rgb="FFD75555"/>
      <color rgb="FFEEA4B7"/>
      <color rgb="FFF7D1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04C2-2D59-458C-9B37-6F6A632F8885}">
  <dimension ref="A1:X87"/>
  <sheetViews>
    <sheetView tabSelected="1" topLeftCell="A69" zoomScaleNormal="100" workbookViewId="0">
      <selection activeCell="G67" sqref="G67"/>
    </sheetView>
  </sheetViews>
  <sheetFormatPr defaultRowHeight="15" x14ac:dyDescent="0.25"/>
  <cols>
    <col min="1" max="4" width="10.7109375" customWidth="1"/>
    <col min="5" max="5" width="15.7109375" customWidth="1"/>
    <col min="6" max="6" width="10.7109375" customWidth="1"/>
    <col min="7" max="7" width="15" customWidth="1"/>
    <col min="8" max="8" width="2.85546875" customWidth="1"/>
    <col min="9" max="13" width="10.28515625" customWidth="1"/>
    <col min="14" max="14" width="9.7109375" customWidth="1"/>
    <col min="15" max="15" width="15.7109375" customWidth="1"/>
  </cols>
  <sheetData>
    <row r="1" spans="1:24" ht="17.100000000000001" customHeight="1" x14ac:dyDescent="0.25">
      <c r="A1" s="58" t="s">
        <v>45</v>
      </c>
      <c r="B1" s="58"/>
      <c r="C1" s="58"/>
      <c r="D1" s="58"/>
      <c r="E1" s="1" t="s">
        <v>39</v>
      </c>
      <c r="F1" s="32"/>
      <c r="H1" s="39"/>
      <c r="O1" s="1"/>
    </row>
    <row r="2" spans="1:24" ht="17.100000000000001" customHeight="1" x14ac:dyDescent="0.25">
      <c r="A2" s="58"/>
      <c r="B2" s="58"/>
      <c r="C2" s="58"/>
      <c r="D2" s="58"/>
      <c r="E2" s="1" t="s">
        <v>40</v>
      </c>
      <c r="F2" s="32"/>
      <c r="H2" s="39"/>
      <c r="O2" s="1"/>
    </row>
    <row r="3" spans="1:24" ht="17.100000000000001" customHeight="1" x14ac:dyDescent="0.25">
      <c r="A3" s="40" t="s">
        <v>46</v>
      </c>
      <c r="B3" s="40"/>
      <c r="C3" s="40"/>
      <c r="D3" s="40"/>
      <c r="E3" s="1" t="s">
        <v>41</v>
      </c>
      <c r="F3" s="32"/>
      <c r="H3" s="39"/>
      <c r="O3" s="1"/>
    </row>
    <row r="4" spans="1:24" ht="17.100000000000001" customHeight="1" x14ac:dyDescent="0.25">
      <c r="A4" s="40"/>
      <c r="B4" s="40"/>
      <c r="C4" s="40"/>
      <c r="D4" s="40"/>
      <c r="E4" s="1" t="s">
        <v>42</v>
      </c>
      <c r="F4" s="32"/>
      <c r="H4" s="39"/>
      <c r="O4" s="1"/>
    </row>
    <row r="5" spans="1:24" ht="20.100000000000001" customHeight="1" x14ac:dyDescent="0.25">
      <c r="A5" s="6" t="s">
        <v>0</v>
      </c>
      <c r="B5" s="6"/>
      <c r="C5" s="6"/>
      <c r="D5" s="6"/>
      <c r="E5" s="30" t="s">
        <v>44</v>
      </c>
      <c r="F5" s="37"/>
      <c r="G5" s="30"/>
      <c r="H5" s="39"/>
      <c r="O5" s="1"/>
    </row>
    <row r="6" spans="1:24" ht="18" customHeight="1" x14ac:dyDescent="0.25">
      <c r="A6" s="34" t="s">
        <v>1</v>
      </c>
      <c r="B6" s="33" t="s">
        <v>2</v>
      </c>
      <c r="C6" s="34" t="s">
        <v>3</v>
      </c>
      <c r="D6" s="33" t="s">
        <v>4</v>
      </c>
      <c r="E6" s="34" t="s">
        <v>5</v>
      </c>
      <c r="F6" s="33" t="s">
        <v>6</v>
      </c>
      <c r="G6" s="34" t="s">
        <v>7</v>
      </c>
      <c r="H6" s="39"/>
      <c r="O6" s="1"/>
    </row>
    <row r="7" spans="1:24" ht="18" customHeight="1" x14ac:dyDescent="0.25">
      <c r="A7" s="2"/>
      <c r="B7" s="34"/>
      <c r="C7" s="2"/>
      <c r="D7" s="35"/>
      <c r="E7" s="4" t="b">
        <f>IF(A7&lt;=69,A17,IF(A7&lt;=79,A17+3,IF(A7&lt;=89,A17+6,IF(A7&lt;=999,A17+9))))</f>
        <v>0</v>
      </c>
      <c r="F7" s="34"/>
      <c r="G7" s="2">
        <f>F7*E7</f>
        <v>0</v>
      </c>
      <c r="H7" s="39"/>
      <c r="O7" s="1"/>
    </row>
    <row r="8" spans="1:24" ht="18" customHeight="1" x14ac:dyDescent="0.25">
      <c r="A8" s="34"/>
      <c r="B8" s="33"/>
      <c r="C8" s="34"/>
      <c r="D8" s="36"/>
      <c r="E8" s="35" t="b">
        <f>IF(A8&lt;=69,B17,IF(A8&lt;=79,B17+3,IF(A8&lt;=89,B17+6,IF(A8&lt;=999,B17+9))))</f>
        <v>0</v>
      </c>
      <c r="F8" s="33"/>
      <c r="G8" s="34">
        <f t="shared" ref="G8:G15" si="0">F8*E8</f>
        <v>0</v>
      </c>
      <c r="H8" s="39"/>
      <c r="O8" s="1"/>
    </row>
    <row r="9" spans="1:24" ht="18" customHeight="1" x14ac:dyDescent="0.25">
      <c r="A9" s="2"/>
      <c r="B9" s="34"/>
      <c r="C9" s="2"/>
      <c r="D9" s="35"/>
      <c r="E9" s="4" t="b">
        <f>IF(A9&lt;=69,C17,IF(A9&lt;=79,C17+3,IF(A9&lt;=89,C17+6,IF(A9&lt;=999,C17+9))))</f>
        <v>0</v>
      </c>
      <c r="F9" s="34"/>
      <c r="G9" s="2">
        <f t="shared" si="0"/>
        <v>0</v>
      </c>
      <c r="H9" s="39"/>
      <c r="O9" s="1"/>
    </row>
    <row r="10" spans="1:24" ht="18" customHeight="1" x14ac:dyDescent="0.25">
      <c r="A10" s="34"/>
      <c r="B10" s="33"/>
      <c r="C10" s="34"/>
      <c r="D10" s="36"/>
      <c r="E10" s="35" t="b">
        <f>IF(A10&lt;=69,D17,IF(A10&lt;=79,D17+3,IF(A10&lt;=89,D17+6,IF(A10&lt;=999,D17+9))))</f>
        <v>0</v>
      </c>
      <c r="F10" s="33"/>
      <c r="G10" s="34">
        <f t="shared" si="0"/>
        <v>0</v>
      </c>
      <c r="H10" s="39"/>
      <c r="I10" s="81"/>
      <c r="O10" s="1"/>
    </row>
    <row r="11" spans="1:24" ht="18" customHeight="1" x14ac:dyDescent="0.25">
      <c r="A11" s="2"/>
      <c r="B11" s="34"/>
      <c r="C11" s="2"/>
      <c r="D11" s="35"/>
      <c r="E11" s="4" t="b">
        <f>IF(A11&lt;=69,E17,IF(A11&lt;=79,E17+3,IF(A11&lt;=89,E17+6,IF(A11&lt;=999,E17+9))))</f>
        <v>0</v>
      </c>
      <c r="F11" s="34"/>
      <c r="G11" s="2">
        <f t="shared" si="0"/>
        <v>0</v>
      </c>
      <c r="H11" s="39"/>
      <c r="O11" s="1"/>
      <c r="P11" s="1"/>
    </row>
    <row r="12" spans="1:24" ht="18" customHeight="1" x14ac:dyDescent="0.25">
      <c r="A12" s="34"/>
      <c r="B12" s="33"/>
      <c r="C12" s="34"/>
      <c r="D12" s="36"/>
      <c r="E12" s="35" t="b">
        <f>IF(A12&lt;=69,A18,IF(A12&lt;=79,A18+3,IF(A12&lt;=89,A18+6,IF(A12&lt;=999,A18+9))))</f>
        <v>0</v>
      </c>
      <c r="F12" s="33"/>
      <c r="G12" s="34">
        <f t="shared" si="0"/>
        <v>0</v>
      </c>
      <c r="H12" s="39"/>
      <c r="O12" s="1"/>
    </row>
    <row r="13" spans="1:24" ht="18" customHeight="1" x14ac:dyDescent="0.25">
      <c r="A13" s="2"/>
      <c r="B13" s="34"/>
      <c r="C13" s="2"/>
      <c r="D13" s="35"/>
      <c r="E13" s="4" t="b">
        <f>IF(A13&lt;=69,B18,IF(A13&lt;=79,B18+3,IF(A13&lt;=89,B18+6,IF(A13&lt;=999,B18+9))))</f>
        <v>0</v>
      </c>
      <c r="F13" s="34"/>
      <c r="G13" s="2">
        <f t="shared" si="0"/>
        <v>0</v>
      </c>
      <c r="H13" s="39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ht="18" customHeight="1" x14ac:dyDescent="0.25">
      <c r="A14" s="34"/>
      <c r="B14" s="33"/>
      <c r="C14" s="34"/>
      <c r="D14" s="36"/>
      <c r="E14" s="35" t="b">
        <f>IF(A14&lt;=69,D18,IF(A14&lt;=79,D18+3,IF(A14&lt;=89,D18+6,IF(A14&lt;=999,D18+9))))</f>
        <v>0</v>
      </c>
      <c r="F14" s="33"/>
      <c r="G14" s="34">
        <f t="shared" si="0"/>
        <v>0</v>
      </c>
      <c r="H14" s="39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8" customHeight="1" x14ac:dyDescent="0.25">
      <c r="A15" s="2"/>
      <c r="B15" s="34"/>
      <c r="C15" s="2"/>
      <c r="D15" s="35"/>
      <c r="E15" s="4" t="b">
        <f>IF(A15&lt;=69,C18,IF(A15&lt;=79,C18+3,IF(A15&lt;=89,C18+6,IF(A15&lt;=999,C18+9))))</f>
        <v>0</v>
      </c>
      <c r="F15" s="34"/>
      <c r="G15" s="2">
        <f t="shared" si="0"/>
        <v>0</v>
      </c>
      <c r="H15" s="39"/>
      <c r="O15" s="1"/>
      <c r="P15" s="24"/>
      <c r="Q15" s="24"/>
      <c r="R15" s="24"/>
      <c r="S15" s="24"/>
      <c r="T15" s="24"/>
    </row>
    <row r="16" spans="1:24" ht="18" customHeight="1" x14ac:dyDescent="0.25">
      <c r="A16" s="38" t="s">
        <v>43</v>
      </c>
      <c r="B16" s="38"/>
      <c r="C16" s="38"/>
      <c r="D16" s="38"/>
      <c r="E16" s="34">
        <v>93</v>
      </c>
      <c r="F16" s="33"/>
      <c r="G16" s="35">
        <f>E16*F16</f>
        <v>0</v>
      </c>
      <c r="H16" s="39"/>
      <c r="O16" s="1"/>
    </row>
    <row r="17" spans="1:15" ht="11.25" customHeight="1" x14ac:dyDescent="0.25">
      <c r="A17" s="28" t="b">
        <f>IF(B7="R1",170,IF(B7="R2",170,IF(B7="R3",192,IF(B7="R4",175,IF(B7="R5",175,IF(B7="R6",192,IF(B7="R7",192,IF(B7="R8",198,IF(B7="R9",202,IF(B7="R10",202,IF(B7="R11",198,IF(B7="R12",216,IF(B7="R13",198,IF(B7="R14",200,IF(B7="V1",100,IF(B7="V2",150,IF(B7="V3",150,IF(B7="V4",165,IF(B7="V5",150,IF(B7="V6",152,IF(B7="V7",158,IF(B7="V8",160,IF(B7="V9",165,IF(B7="V10",160,IF(B7="V11",165,IF(B7="V12",165,IF(B7="V13",165,IF(B7="V14",165,IF(B7="K1",170,IF(B7="K2",170,IF(B7="K3",175,IF(B7="K4",244,IF(B7="K5",244,IF(B7="K6",244,IF(B7="K7",211,IF(B7="K8",211,IF(B7="K9",211,IF(B7="K10",178,IF(B7="K11",178,IF(B7="K12",199,IF(B7="P1",141,IF(B7="P2",141,IF(B7="P3",141,IF(B7="P4",141,IF(B7="P5",152,IF(B7="P6",197,IF(B7="P7",152,IF(B7="P8",152,IF(B7="P9",141,IF(B7="P10",152,IF(B7="P11",129,IF(B7="P12",129,IF(B7="P13",129,IF(B7="P14",129,IF(B7="P15",119,IF(B7="P16",129))))))))))))))))))))))))))))))))))))))))))))))))))))))))</f>
        <v>0</v>
      </c>
      <c r="B17" s="28" t="b">
        <f>IF(B8="R1",170,IF(B8="R2",170,IF(B8="R3",192,IF(B8="R4",175,IF(B8="R5",175,IF(B8="R6",192,IF(B8="R7",192,IF(B8="R8",198,IF(B8="R9",202,IF(B8="R10",202,IF(B8="R11",198,IF(B8="R12",216,IF(B8="R13",198,IF(B8="R14",200,IF(B8="V1",100,IF(B8="V2",150,IF(B8="V3",150,IF(B8="V4",165,IF(B8="V5",150,IF(B8="V6",152,IF(B8="V7",158,IF(B8="V8",160,IF(B8="V9",165,IF(B8="V10",160,IF(B8="V11",165,IF(B8="V12",165,IF(B8="V13",165,IF(B8="V14",165,IF(B8="K1",170,IF(B8="K2",170,IF(B8="K3",175,IF(B8="K4",244,IF(B8="K5",244,IF(B8="K6",244,IF(B8="K7",211,IF(B8="K8",211,IF(B8="K9",211,IF(B8="K10",178,IF(B8="K11",178,IF(B8="K12",199,IF(B8="P1",141,IF(B8="P2",141,IF(B8="P3",141,IF(B8="P4",141,IF(B8="P5",152,IF(B8="P6",197,IF(B8="P7",152,IF(B8="P8",152,IF(B8="P9",141,IF(B8="P10",152,IF(B8="P11",129,IF(B8="P12",129,IF(B8="P13",129,IF(B8="P14",129,IF(B8="P15",119,IF(B8="P16",129))))))))))))))))))))))))))))))))))))))))))))))))))))))))</f>
        <v>0</v>
      </c>
      <c r="C17" s="28" t="b">
        <f>IF(B9="R1",170,IF(B9="R2",170,IF(B9="R3",192,IF(B9="R4",175,IF(B9="R5",175,IF(B9="R6",192,IF(B9="R7",192,IF(B9="R8",198,IF(B9="R9",202,IF(B9="R10",202,IF(B9="R11",198,IF(B9="R12",216,IF(B9="R13",198,IF(B9="R14",200,IF(B9="V1",100,IF(B9="V2",150,IF(B9="V3",150,IF(B9="V4",165,IF(B9="V5",150,IF(B9="V6",152,IF(B9="V7",158,IF(B9="V8",160,IF(B9="V9",165,IF(B9="V10",160,IF(B9="V11",165,IF(B9="V12",165,IF(B9="V13",165,IF(B9="V14",165,IF(B9="K1",170,IF(B9="K2",170,IF(B9="K3",175,IF(B9="K4",244,IF(B9="K5",244,IF(B9="K6",244,IF(B9="K7",211,IF(B9="K8",211,IF(B9="K9",211,IF(B9="K10",178,IF(B9="K11",178,IF(B9="K12",199,IF(B9="P1",141,IF(B9="P2",141,IF(B9="P3",141,IF(B9="P4",141,IF(B9="P5",152,IF(B9="P6",197,IF(B9="P7",152,IF(B9="P8",152,IF(B9="P9",141,IF(B9="P10",152,IF(B9="P11",129,IF(B9="P12",129,IF(B9="P13",129,IF(B9="P14",129,IF(B9="P15",119,IF(B9="P16",129))))))))))))))))))))))))))))))))))))))))))))))))))))))))</f>
        <v>0</v>
      </c>
      <c r="D17" s="28" t="b">
        <f>IF(B10="R1",170,IF(B10="R2",170,IF(B10="R3",192,IF(B10="R4",175,IF(B10="R5",175,IF(B10="R6",192,IF(B10="R7",192,IF(B10="R8",198,IF(B10="R9",202,IF(B10="R10",202,IF(B10="R11",198,IF(B10="R12",216,IF(B10="R13",198,IF(B10="R14",200,IF(B10="V1",100,IF(B10="V2",150,IF(B10="V3",150,IF(B10="V4",165,IF(B10="V5",150,IF(B10="V6",152,IF(B10="V7",158,IF(B10="V8",160,IF(B10="V9",165,IF(B10="V10",160,IF(B10="V11",165,IF(B10="V12",165,IF(B10="V13",165,IF(B10="V14",165,IF(B10="K1",170,IF(B10="K2",170,IF(B10="K3",175,IF(B10="K4",244,IF(B10="K5",244,IF(B10="K6",244,IF(B10="K7",211,IF(B10="K8",211,IF(B10="K9",211,IF(B10="K10",178,IF(B10="K11",178,IF(B10="K12",199,IF(B10="P1",141,IF(B10="P2",141,IF(B10="P3",141,IF(B10="P4",141,IF(B10="P5",152,IF(B10="P6",197,IF(B10="P7",152,IF(B10="P8",152,IF(B10="P9",141,IF(B10="P10",152,IF(B10="P11",129,IF(B10="P12",129,IF(B10="P13",129,IF(B10="P14",129,IF(B10="P15",119,IF(B10="P16",129))))))))))))))))))))))))))))))))))))))))))))))))))))))))</f>
        <v>0</v>
      </c>
      <c r="E17" s="29" t="b">
        <f>IF(B11="R1",170,IF(B11="R2",170,IF(B11="R3",192,IF(B11="R4",175,IF(B11="R5",175,IF(B11="R6",192,IF(B11="R7",192,IF(B11="R8",198,IF(B11="R9",202,IF(B11="R10",202,IF(B11="R11",198,IF(B11="R12",216,IF(B11="R13",198,IF(B11="R14",200,IF(B11="V1",100,IF(B11="V2",150,IF(B11="V3",150,IF(B11="V4",165,IF(B11="V5",150,IF(B11="V6",152,IF(B11="V7",158,IF(B11="V8",160,IF(B11="V9",165,IF(B11="V10",160,IF(B11="V11",165,IF(B11="V12",165,IF(B11="V13",165,IF(B11="V14",165,IF(B11="K1",170,IF(B11="K2",170,IF(B11="K3",175,IF(B11="K4",244,IF(B11="K5",244,IF(B11="K6",244,IF(B11="K7",211,IF(B11="K8",211,IF(B11="K9",211,IF(B11="K10",178,IF(B11="K11",178,IF(B11="K12",199,IF(B11="P1",141,IF(B11="P2",141,IF(B11="P3",141,IF(B11="P4",141,IF(B11="P5",152,IF(B11="P6",197,IF(B11="P7",152,IF(B11="P8",152,IF(B11="P9",141,IF(B11="P10",152,IF(B11="P11",129,IF(B11="P12",129,IF(B11="P13",129,IF(B11="P14",129,IF(B11="P15",119,IF(B11="P16",129))))))))))))))))))))))))))))))))))))))))))))))))))))))))</f>
        <v>0</v>
      </c>
      <c r="F17" s="51"/>
      <c r="G17" s="28"/>
      <c r="H17" s="39"/>
      <c r="O17" s="1"/>
    </row>
    <row r="18" spans="1:15" ht="11.25" customHeight="1" x14ac:dyDescent="0.25">
      <c r="A18" s="28" t="b">
        <f>IF(B12="R1",170,IF(B12="R2",170,IF(B12="R3",192,IF(B12="R4",175,IF(B12="R5",175,IF(B12="R6",192,IF(B12="R7",192,IF(B12="R8",198,IF(B12="R9",202,IF(B12="R10",202,IF(B12="R11",198,IF(B12="R12",216,IF(B12="R13",198,IF(B12="R14",200,IF(B12="V1",100,IF(B12="V2",150,IF(B12="V3",150,IF(B12="V4",165,IF(B12="V5",150,IF(B12="V6",152,IF(B12="V7",158,IF(B12="V8",160,IF(B12="V9",165,IF(B12="V10",160,IF(B12="V11",165,IF(B12="V12",165,IF(B12="V13",165,IF(B12="V14",165,IF(B12="K1",170,IF(B12="K2",170,IF(B12="K3",175,IF(B12="K4",244,IF(B12="K5",244,IF(B12="K6",244,IF(B12="K7",211,IF(B12="K8",211,IF(B12="K9",211,IF(B12="K10",178,IF(B12="K11",178,IF(B12="K12",199,IF(B12="P1",141,IF(B12="P2",141,IF(B12="P3",141,IF(B12="P4",141,IF(B12="P5",152,IF(B12="P6",197,IF(B12="P7",152,IF(B12="P8",152,IF(B12="P9",141,IF(B12="P10",152,IF(B12="P11",129,IF(B12="P12",129,IF(B12="P13",129,IF(B12="P14",129,IF(B12="P15",119,IF(B12="P16",129))))))))))))))))))))))))))))))))))))))))))))))))))))))))</f>
        <v>0</v>
      </c>
      <c r="B18" s="28" t="b">
        <f>IF(B13="R1",170,IF(B13="R2",170,IF(B13="R3",192,IF(B13="R4",175,IF(B13="R5",175,IF(B13="R6",192,IF(B13="R7",192,IF(B13="R8",198,IF(B13="R9",202,IF(B13="R10",202,IF(B13="R11",198,IF(B13="R12",216,IF(B13="R13",198,IF(B13="R14",200,IF(B13="V1",100,IF(B13="V2",150,IF(B13="V3",150,IF(B13="V4",165,IF(B13="V5",150,IF(B13="V6",152,IF(B13="V7",158,IF(B13="V8",160,IF(B13="V9",165,IF(B13="V10",160,IF(B13="V11",165,IF(B13="V12",165,IF(B13="V13",165,IF(B13="V14",165,IF(B13="K1",170,IF(B13="K2",170,IF(B13="K3",175,IF(B13="K4",244,IF(B13="K5",244,IF(B13="K6",244,IF(B13="K7",211,IF(B13="K8",211,IF(B13="K9",211,IF(B13="K10",178,IF(B13="K11",178,IF(B13="K12",199,IF(B13="P1",141,IF(B13="P2",141,IF(B13="P3",141,IF(B13="P4",141,IF(B13="P5",152,IF(B13="P6",197,IF(B13="P7",152,IF(B13="P8",152,IF(B13="P9",141,IF(B13="P10",152,IF(B13="P11",129,IF(B13="P12",129,IF(B13="P13",129,IF(B13="P14",129,IF(B13="P15",119,IF(B13="P16",129))))))))))))))))))))))))))))))))))))))))))))))))))))))))</f>
        <v>0</v>
      </c>
      <c r="C18" s="28" t="b">
        <f>IF(B15="R1",170,IF(B15="R2",170,IF(B15="R3",192,IF(B15="R4",175,IF(B15="R5",175,IF(B15="R6",192,IF(B15="R7",192,IF(B15="R8",198,IF(B15="R9",202,IF(B15="R10",202,IF(B15="R11",198,IF(B15="R12",216,IF(B15="R13",198,IF(B15="R14",200,IF(B15="V1",100,IF(B15="V2",150,IF(B15="V3",150,IF(B15="V4",165,IF(B15="V5",150,IF(B15="V6",152,IF(B15="V7",158,IF(B15="V8",160,IF(B15="V9",165,IF(B15="V10",160,IF(B15="V11",165,IF(B15="V12",165,IF(B15="V13",165,IF(B15="V14",165,IF(B15="K1",170,IF(B15="K2",170,IF(B15="K3",175,IF(B15="K4",244,IF(B15="K5",244,IF(B15="K6",244,IF(B15="K7",211,IF(B15="K8",211,IF(B15="K9",211,IF(B15="K10",178,IF(B15="K11",178,IF(B15="K12",199,IF(B15="P1",141,IF(B15="P2",141,IF(B15="P3",141,IF(B15="P4",141,IF(B15="P5",152,IF(B15="P6",197,IF(B15="P7",152,IF(B15="P8",152,IF(B15="P9",141,IF(B15="P10",152,IF(B15="P11",129,IF(B15="P12",129,IF(B15="P13",129,IF(B15="P14",129,IF(B15="P15",119,IF(B15="P16",129))))))))))))))))))))))))))))))))))))))))))))))))))))))))</f>
        <v>0</v>
      </c>
      <c r="D18" s="28" t="b">
        <f>IF(B16="R1",170,IF(B16="R2",170,IF(B16="R3",192,IF(B16="R4",175,IF(B16="R5",175,IF(B16="R6",192,IF(B16="R7",192,IF(B16="R8",198,IF(B16="R9",202,IF(B16="R10",202,IF(B16="R11",198,IF(B16="R12",216,IF(B16="R13",198,IF(B16="R14",200,IF(B16="V1",100,IF(B16="V2",150,IF(B16="V3",150,IF(B16="V4",165,IF(B16="V5",150,IF(B16="V6",152,IF(B16="V7",158,IF(B16="V8",160,IF(B16="V9",165,IF(B16="V10",160,IF(B16="V11",165,IF(B16="V12",165,IF(B16="V13",165,IF(B16="V14",165,IF(B16="K1",170,IF(B16="K2",170,IF(B16="K3",175,IF(B16="K4",244,IF(B16="K5",244,IF(B16="K6",244,IF(B16="K7",211,IF(B16="K8",211,IF(B16="K9",211,IF(B16="K10",178,IF(B16="K11",178,IF(B16="K12",199,IF(B16="P1",141,IF(B16="P2",141,IF(B16="P3",141,IF(B16="P4",141,IF(B16="P5",152,IF(B16="P6",197,IF(B16="P7",152,IF(B16="P8",152,IF(B16="P9",141,IF(B16="P10",152,IF(B16="P11",129,IF(B16="P12",129,IF(B16="P13",129,IF(B16="P14",129,IF(B16="P15",119,IF(B16="P16",129))))))))))))))))))))))))))))))))))))))))))))))))))))))))</f>
        <v>0</v>
      </c>
      <c r="E18" s="28"/>
      <c r="F18" s="52"/>
      <c r="G18" s="28"/>
      <c r="H18" s="39"/>
      <c r="O18" s="1"/>
    </row>
    <row r="19" spans="1:15" ht="18" customHeight="1" x14ac:dyDescent="0.25">
      <c r="A19" s="43" t="s">
        <v>12</v>
      </c>
      <c r="B19" s="43"/>
      <c r="C19" s="43"/>
      <c r="D19" s="43"/>
      <c r="E19" s="34" t="s">
        <v>5</v>
      </c>
      <c r="F19" s="55" t="s">
        <v>6</v>
      </c>
      <c r="G19" s="34" t="s">
        <v>7</v>
      </c>
      <c r="H19" s="39"/>
      <c r="O19" s="1"/>
    </row>
    <row r="20" spans="1:15" ht="18" customHeight="1" x14ac:dyDescent="0.25">
      <c r="A20" s="20"/>
      <c r="B20" s="21"/>
      <c r="C20" s="21"/>
      <c r="D20" s="22"/>
      <c r="E20" s="79"/>
      <c r="F20" s="44"/>
      <c r="G20" s="2">
        <f>F20*E20</f>
        <v>0</v>
      </c>
      <c r="H20" s="39"/>
      <c r="O20" s="1"/>
    </row>
    <row r="21" spans="1:15" ht="18" customHeight="1" x14ac:dyDescent="0.25">
      <c r="A21" s="45" t="s">
        <v>8</v>
      </c>
      <c r="B21" s="46"/>
      <c r="C21" s="46"/>
      <c r="D21" s="47"/>
      <c r="E21" s="80"/>
      <c r="F21" s="55"/>
      <c r="G21" s="34">
        <f>F21*E21</f>
        <v>0</v>
      </c>
      <c r="H21" s="39"/>
      <c r="O21" s="1"/>
    </row>
    <row r="22" spans="1:15" ht="18" customHeight="1" x14ac:dyDescent="0.25">
      <c r="A22" s="12" t="s">
        <v>9</v>
      </c>
      <c r="B22" s="13"/>
      <c r="C22" s="13"/>
      <c r="D22" s="14"/>
      <c r="E22" s="79"/>
      <c r="F22" s="44"/>
      <c r="G22" s="2">
        <f t="shared" ref="G22:G24" si="1">F22*E22</f>
        <v>0</v>
      </c>
      <c r="H22" s="39"/>
      <c r="O22" s="1"/>
    </row>
    <row r="23" spans="1:15" ht="18" customHeight="1" x14ac:dyDescent="0.25">
      <c r="A23" s="45" t="s">
        <v>10</v>
      </c>
      <c r="B23" s="46"/>
      <c r="C23" s="46"/>
      <c r="D23" s="47"/>
      <c r="E23" s="80"/>
      <c r="F23" s="55"/>
      <c r="G23" s="34">
        <f t="shared" si="1"/>
        <v>0</v>
      </c>
      <c r="H23" s="39"/>
      <c r="O23" s="1"/>
    </row>
    <row r="24" spans="1:15" ht="18" customHeight="1" x14ac:dyDescent="0.25">
      <c r="A24" s="12" t="s">
        <v>11</v>
      </c>
      <c r="B24" s="13"/>
      <c r="C24" s="13"/>
      <c r="D24" s="14"/>
      <c r="E24" s="79">
        <v>5</v>
      </c>
      <c r="F24" s="44"/>
      <c r="G24" s="2">
        <f t="shared" si="1"/>
        <v>0</v>
      </c>
      <c r="H24" s="39"/>
      <c r="O24" s="1"/>
    </row>
    <row r="25" spans="1:15" ht="11.25" customHeight="1" x14ac:dyDescent="0.25">
      <c r="F25" s="53"/>
      <c r="H25" s="39"/>
      <c r="O25" s="1"/>
    </row>
    <row r="26" spans="1:15" ht="11.25" customHeight="1" x14ac:dyDescent="0.25">
      <c r="F26" s="54"/>
      <c r="H26" s="39"/>
      <c r="O26" s="1"/>
    </row>
    <row r="27" spans="1:15" ht="18" customHeight="1" x14ac:dyDescent="0.25">
      <c r="A27" s="43" t="s">
        <v>13</v>
      </c>
      <c r="B27" s="43"/>
      <c r="C27" s="43"/>
      <c r="D27" s="43"/>
      <c r="E27" s="43"/>
      <c r="F27" s="33" t="s">
        <v>6</v>
      </c>
      <c r="G27" s="34" t="s">
        <v>7</v>
      </c>
      <c r="H27" s="39"/>
      <c r="O27" s="1"/>
    </row>
    <row r="28" spans="1:15" ht="24" customHeight="1" x14ac:dyDescent="0.25">
      <c r="A28" s="25" t="s">
        <v>14</v>
      </c>
      <c r="B28" s="26"/>
      <c r="C28" s="26"/>
      <c r="D28" s="26"/>
      <c r="E28" s="27"/>
      <c r="F28" s="34">
        <v>0</v>
      </c>
      <c r="G28" s="2">
        <v>0</v>
      </c>
      <c r="H28" s="39"/>
      <c r="O28" s="1"/>
    </row>
    <row r="29" spans="1:15" ht="24" customHeight="1" x14ac:dyDescent="0.25">
      <c r="A29" s="48" t="s">
        <v>16</v>
      </c>
      <c r="B29" s="49"/>
      <c r="C29" s="49"/>
      <c r="D29" s="49"/>
      <c r="E29" s="50"/>
      <c r="F29" s="33">
        <v>0</v>
      </c>
      <c r="G29" s="34">
        <f>IF(F29&lt;"6",(F29*25))</f>
        <v>0</v>
      </c>
      <c r="H29" s="39"/>
    </row>
    <row r="30" spans="1:15" ht="11.25" customHeight="1" x14ac:dyDescent="0.25">
      <c r="F30" s="53"/>
      <c r="H30" s="39"/>
      <c r="O30" s="1"/>
    </row>
    <row r="31" spans="1:15" ht="11.25" customHeight="1" x14ac:dyDescent="0.25">
      <c r="F31" s="54"/>
      <c r="H31" s="39"/>
      <c r="O31" s="1"/>
    </row>
    <row r="32" spans="1:15" ht="18" customHeight="1" x14ac:dyDescent="0.25">
      <c r="A32" s="43" t="s">
        <v>15</v>
      </c>
      <c r="B32" s="43"/>
      <c r="C32" s="43"/>
      <c r="D32" s="43"/>
      <c r="E32" s="43"/>
      <c r="F32" s="56" t="s">
        <v>6</v>
      </c>
      <c r="G32" s="34" t="s">
        <v>7</v>
      </c>
      <c r="H32" s="39"/>
      <c r="O32" s="1"/>
    </row>
    <row r="33" spans="1:15" ht="18" customHeight="1" x14ac:dyDescent="0.25">
      <c r="A33" s="12" t="s">
        <v>47</v>
      </c>
      <c r="B33" s="13"/>
      <c r="C33" s="13"/>
      <c r="D33" s="13"/>
      <c r="E33" s="14"/>
      <c r="F33" s="34"/>
      <c r="G33" s="2"/>
      <c r="H33" s="39"/>
      <c r="O33" s="1"/>
    </row>
    <row r="34" spans="1:15" ht="18" customHeight="1" x14ac:dyDescent="0.25">
      <c r="A34" s="45" t="s">
        <v>48</v>
      </c>
      <c r="B34" s="46"/>
      <c r="C34" s="46"/>
      <c r="D34" s="46"/>
      <c r="E34" s="47"/>
      <c r="F34" s="33"/>
      <c r="G34" s="34"/>
      <c r="H34" s="39"/>
      <c r="O34" s="1"/>
    </row>
    <row r="35" spans="1:15" ht="18" customHeight="1" x14ac:dyDescent="0.25">
      <c r="A35" s="12" t="s">
        <v>49</v>
      </c>
      <c r="B35" s="13"/>
      <c r="C35" s="13"/>
      <c r="D35" s="13"/>
      <c r="E35" s="14"/>
      <c r="F35" s="34"/>
      <c r="G35" s="2"/>
      <c r="H35" s="39"/>
      <c r="O35" s="1"/>
    </row>
    <row r="36" spans="1:15" ht="18" customHeight="1" x14ac:dyDescent="0.25">
      <c r="A36" s="45" t="s">
        <v>50</v>
      </c>
      <c r="B36" s="46"/>
      <c r="C36" s="46"/>
      <c r="D36" s="46"/>
      <c r="E36" s="47"/>
      <c r="F36" s="33"/>
      <c r="G36" s="34"/>
      <c r="H36" s="39"/>
      <c r="O36" s="1"/>
    </row>
    <row r="37" spans="1:15" ht="18" customHeight="1" x14ac:dyDescent="0.25">
      <c r="A37" s="12" t="s">
        <v>51</v>
      </c>
      <c r="B37" s="13"/>
      <c r="C37" s="13"/>
      <c r="D37" s="13"/>
      <c r="E37" s="14"/>
      <c r="F37" s="34"/>
      <c r="G37" s="2"/>
      <c r="H37" s="39"/>
      <c r="O37" s="1"/>
    </row>
    <row r="38" spans="1:15" ht="18" customHeight="1" x14ac:dyDescent="0.25">
      <c r="A38" s="45" t="s">
        <v>52</v>
      </c>
      <c r="B38" s="46"/>
      <c r="C38" s="46"/>
      <c r="D38" s="46"/>
      <c r="E38" s="47"/>
      <c r="F38" s="33"/>
      <c r="G38" s="34"/>
      <c r="H38" s="39"/>
    </row>
    <row r="39" spans="1:15" ht="18" customHeight="1" x14ac:dyDescent="0.25">
      <c r="A39" s="74" t="s">
        <v>53</v>
      </c>
      <c r="B39" s="75"/>
      <c r="C39" s="75"/>
      <c r="D39" s="75"/>
      <c r="E39" s="76"/>
      <c r="F39" s="34"/>
      <c r="G39" s="57"/>
      <c r="H39" s="39"/>
    </row>
    <row r="40" spans="1:15" ht="18" customHeight="1" x14ac:dyDescent="0.25">
      <c r="A40" s="45" t="s">
        <v>54</v>
      </c>
      <c r="B40" s="46"/>
      <c r="C40" s="46"/>
      <c r="D40" s="46"/>
      <c r="E40" s="47"/>
      <c r="F40" s="33"/>
      <c r="G40" s="34"/>
      <c r="H40" s="39"/>
    </row>
    <row r="41" spans="1:15" s="1" customFormat="1" ht="18.75" customHeight="1" x14ac:dyDescent="0.25">
      <c r="A41" s="31"/>
      <c r="B41" s="31"/>
      <c r="C41" s="31"/>
      <c r="D41" s="31"/>
      <c r="E41" s="31"/>
      <c r="F41" s="72"/>
      <c r="G41" s="73"/>
      <c r="H41" s="39"/>
    </row>
    <row r="42" spans="1:15" ht="18" customHeight="1" x14ac:dyDescent="0.25">
      <c r="A42" s="43" t="s">
        <v>17</v>
      </c>
      <c r="B42" s="43"/>
      <c r="C42" s="43"/>
      <c r="D42" s="43"/>
      <c r="E42" s="43"/>
      <c r="F42" s="33" t="s">
        <v>6</v>
      </c>
      <c r="G42" s="34" t="s">
        <v>7</v>
      </c>
      <c r="H42" s="39"/>
    </row>
    <row r="43" spans="1:15" ht="16.5" customHeight="1" x14ac:dyDescent="0.25">
      <c r="A43" s="15" t="s">
        <v>18</v>
      </c>
      <c r="B43" s="16"/>
      <c r="C43" s="16"/>
      <c r="D43" s="16"/>
      <c r="E43" s="16"/>
      <c r="F43" s="67">
        <v>0</v>
      </c>
      <c r="G43" s="31">
        <f>F43*30</f>
        <v>0</v>
      </c>
      <c r="H43" s="39"/>
    </row>
    <row r="44" spans="1:15" ht="16.5" customHeight="1" x14ac:dyDescent="0.25">
      <c r="A44" s="17"/>
      <c r="B44" s="41"/>
      <c r="C44" s="41"/>
      <c r="D44" s="41"/>
      <c r="E44" s="41"/>
      <c r="F44" s="67"/>
      <c r="G44" s="31"/>
      <c r="H44" s="39"/>
    </row>
    <row r="45" spans="1:15" ht="16.5" customHeight="1" x14ac:dyDescent="0.25">
      <c r="A45" s="17"/>
      <c r="B45" s="41"/>
      <c r="C45" s="41"/>
      <c r="D45" s="41"/>
      <c r="E45" s="41"/>
      <c r="F45" s="67"/>
      <c r="G45" s="31"/>
      <c r="H45" s="39"/>
    </row>
    <row r="46" spans="1:15" ht="16.5" customHeight="1" x14ac:dyDescent="0.25">
      <c r="A46" s="18"/>
      <c r="B46" s="19"/>
      <c r="C46" s="19"/>
      <c r="D46" s="19"/>
      <c r="E46" s="19"/>
      <c r="F46" s="67"/>
      <c r="G46" s="31"/>
      <c r="H46" s="39"/>
    </row>
    <row r="47" spans="1:15" ht="15" customHeight="1" x14ac:dyDescent="0.25">
      <c r="A47" s="59" t="s">
        <v>19</v>
      </c>
      <c r="B47" s="60"/>
      <c r="C47" s="60"/>
      <c r="D47" s="60"/>
      <c r="E47" s="60"/>
      <c r="F47" s="68">
        <v>0</v>
      </c>
      <c r="G47" s="62">
        <f>F47*10</f>
        <v>0</v>
      </c>
      <c r="H47" s="39"/>
    </row>
    <row r="48" spans="1:15" ht="15" customHeight="1" x14ac:dyDescent="0.25">
      <c r="A48" s="63"/>
      <c r="B48" s="64"/>
      <c r="C48" s="64"/>
      <c r="D48" s="64"/>
      <c r="E48" s="64"/>
      <c r="F48" s="68"/>
      <c r="G48" s="62"/>
      <c r="H48" s="39"/>
    </row>
    <row r="49" spans="1:8" ht="21" customHeight="1" x14ac:dyDescent="0.25">
      <c r="A49" s="65"/>
      <c r="B49" s="66"/>
      <c r="C49" s="66"/>
      <c r="D49" s="66"/>
      <c r="E49" s="66"/>
      <c r="F49" s="68"/>
      <c r="G49" s="62"/>
      <c r="H49" s="39"/>
    </row>
    <row r="50" spans="1:8" ht="17.45" customHeight="1" x14ac:dyDescent="0.25">
      <c r="A50" s="7" t="s">
        <v>20</v>
      </c>
      <c r="B50" s="8"/>
      <c r="C50" s="8"/>
      <c r="D50" s="8"/>
      <c r="E50" s="8"/>
      <c r="F50" s="61">
        <v>0</v>
      </c>
      <c r="G50" s="31">
        <f>F50*6</f>
        <v>0</v>
      </c>
      <c r="H50" s="39"/>
    </row>
    <row r="51" spans="1:8" ht="17.45" customHeight="1" x14ac:dyDescent="0.25">
      <c r="A51" s="9"/>
      <c r="B51" s="42"/>
      <c r="C51" s="42"/>
      <c r="D51" s="42"/>
      <c r="E51" s="42"/>
      <c r="F51" s="61"/>
      <c r="G51" s="31"/>
      <c r="H51" s="39"/>
    </row>
    <row r="52" spans="1:8" ht="19.5" customHeight="1" x14ac:dyDescent="0.25">
      <c r="A52" s="10"/>
      <c r="B52" s="11"/>
      <c r="C52" s="11"/>
      <c r="D52" s="11"/>
      <c r="E52" s="11"/>
      <c r="F52" s="61"/>
      <c r="G52" s="31"/>
      <c r="H52" s="39"/>
    </row>
    <row r="53" spans="1:8" ht="19.5" customHeight="1" x14ac:dyDescent="0.25">
      <c r="A53" s="59" t="s">
        <v>21</v>
      </c>
      <c r="B53" s="60"/>
      <c r="C53" s="60"/>
      <c r="D53" s="60"/>
      <c r="E53" s="60"/>
      <c r="F53" s="68">
        <v>0</v>
      </c>
      <c r="G53" s="62">
        <f>F53*100</f>
        <v>0</v>
      </c>
      <c r="H53" s="39"/>
    </row>
    <row r="54" spans="1:8" ht="19.5" customHeight="1" x14ac:dyDescent="0.25">
      <c r="A54" s="65"/>
      <c r="B54" s="66"/>
      <c r="C54" s="66"/>
      <c r="D54" s="66"/>
      <c r="E54" s="66"/>
      <c r="F54" s="68"/>
      <c r="G54" s="62"/>
      <c r="H54" s="39"/>
    </row>
    <row r="55" spans="1:8" ht="15" customHeight="1" x14ac:dyDescent="0.25">
      <c r="A55" s="7" t="s">
        <v>37</v>
      </c>
      <c r="B55" s="8"/>
      <c r="C55" s="8"/>
      <c r="D55" s="8"/>
      <c r="E55" s="8"/>
      <c r="F55" s="61">
        <v>0</v>
      </c>
      <c r="G55" s="31">
        <f>F55*12</f>
        <v>0</v>
      </c>
      <c r="H55" s="39"/>
    </row>
    <row r="56" spans="1:8" ht="15" customHeight="1" x14ac:dyDescent="0.25">
      <c r="A56" s="10"/>
      <c r="B56" s="11"/>
      <c r="C56" s="11"/>
      <c r="D56" s="11"/>
      <c r="E56" s="11"/>
      <c r="F56" s="61"/>
      <c r="G56" s="31"/>
      <c r="H56" s="39"/>
    </row>
    <row r="57" spans="1:8" ht="15" customHeight="1" x14ac:dyDescent="0.25">
      <c r="A57" s="59" t="s">
        <v>38</v>
      </c>
      <c r="B57" s="60"/>
      <c r="C57" s="60"/>
      <c r="D57" s="60"/>
      <c r="E57" s="60"/>
      <c r="F57" s="68">
        <v>0</v>
      </c>
      <c r="G57" s="62">
        <f>F57*20</f>
        <v>0</v>
      </c>
      <c r="H57" s="39"/>
    </row>
    <row r="58" spans="1:8" x14ac:dyDescent="0.25">
      <c r="A58" s="63"/>
      <c r="B58" s="64"/>
      <c r="C58" s="64"/>
      <c r="D58" s="64"/>
      <c r="E58" s="64"/>
      <c r="F58" s="68"/>
      <c r="G58" s="62"/>
      <c r="H58" s="39"/>
    </row>
    <row r="59" spans="1:8" ht="15" customHeight="1" x14ac:dyDescent="0.25">
      <c r="A59" s="65"/>
      <c r="B59" s="66"/>
      <c r="C59" s="66"/>
      <c r="D59" s="66"/>
      <c r="E59" s="66"/>
      <c r="F59" s="68"/>
      <c r="G59" s="62"/>
      <c r="H59" s="39"/>
    </row>
    <row r="60" spans="1:8" ht="18.95" customHeight="1" x14ac:dyDescent="0.25">
      <c r="A60" s="7" t="s">
        <v>22</v>
      </c>
      <c r="B60" s="8"/>
      <c r="C60" s="8"/>
      <c r="D60" s="8"/>
      <c r="E60" s="8"/>
      <c r="F60" s="61">
        <v>0</v>
      </c>
      <c r="G60" s="31">
        <f>F60*25</f>
        <v>0</v>
      </c>
      <c r="H60" s="39"/>
    </row>
    <row r="61" spans="1:8" ht="18.95" customHeight="1" x14ac:dyDescent="0.25">
      <c r="A61" s="9"/>
      <c r="B61" s="42"/>
      <c r="C61" s="42"/>
      <c r="D61" s="42"/>
      <c r="E61" s="42"/>
      <c r="F61" s="61"/>
      <c r="G61" s="31"/>
      <c r="H61" s="39"/>
    </row>
    <row r="62" spans="1:8" ht="18.95" customHeight="1" x14ac:dyDescent="0.25">
      <c r="A62" s="10"/>
      <c r="B62" s="11"/>
      <c r="C62" s="11"/>
      <c r="D62" s="11"/>
      <c r="E62" s="11"/>
      <c r="F62" s="61"/>
      <c r="G62" s="31"/>
      <c r="H62" s="39"/>
    </row>
    <row r="63" spans="1:8" ht="17.45" customHeight="1" x14ac:dyDescent="0.25">
      <c r="A63" s="59" t="s">
        <v>23</v>
      </c>
      <c r="B63" s="60"/>
      <c r="C63" s="60"/>
      <c r="D63" s="60"/>
      <c r="E63" s="60"/>
      <c r="F63" s="68">
        <v>0</v>
      </c>
      <c r="G63" s="62">
        <f>F63*15</f>
        <v>0</v>
      </c>
      <c r="H63" s="39"/>
    </row>
    <row r="64" spans="1:8" ht="17.45" customHeight="1" x14ac:dyDescent="0.25">
      <c r="A64" s="63"/>
      <c r="B64" s="64"/>
      <c r="C64" s="64"/>
      <c r="D64" s="64"/>
      <c r="E64" s="64"/>
      <c r="F64" s="68"/>
      <c r="G64" s="62"/>
      <c r="H64" s="39"/>
    </row>
    <row r="65" spans="1:8" ht="17.45" customHeight="1" x14ac:dyDescent="0.25">
      <c r="A65" s="63"/>
      <c r="B65" s="64"/>
      <c r="C65" s="64"/>
      <c r="D65" s="64"/>
      <c r="E65" s="64"/>
      <c r="F65" s="68"/>
      <c r="G65" s="62"/>
      <c r="H65" s="39"/>
    </row>
    <row r="66" spans="1:8" ht="17.45" customHeight="1" x14ac:dyDescent="0.25">
      <c r="A66" s="65"/>
      <c r="B66" s="66"/>
      <c r="C66" s="66"/>
      <c r="D66" s="66"/>
      <c r="E66" s="66"/>
      <c r="F66" s="68"/>
      <c r="G66" s="62"/>
      <c r="H66" s="39"/>
    </row>
    <row r="67" spans="1:8" x14ac:dyDescent="0.25">
      <c r="A67" s="1"/>
      <c r="B67" s="1"/>
      <c r="C67" s="1"/>
      <c r="D67" s="1"/>
      <c r="E67" s="1"/>
      <c r="F67" s="32"/>
      <c r="G67" s="3"/>
      <c r="H67" s="39"/>
    </row>
    <row r="68" spans="1:8" ht="18" customHeight="1" x14ac:dyDescent="0.25">
      <c r="A68" s="43" t="s">
        <v>24</v>
      </c>
      <c r="B68" s="43"/>
      <c r="C68" s="43"/>
      <c r="D68" s="43"/>
      <c r="E68" s="43"/>
      <c r="F68" s="33" t="s">
        <v>6</v>
      </c>
      <c r="G68" s="34" t="s">
        <v>7</v>
      </c>
      <c r="H68" s="39"/>
    </row>
    <row r="69" spans="1:8" x14ac:dyDescent="0.25">
      <c r="A69" s="12" t="s">
        <v>25</v>
      </c>
      <c r="B69" s="13"/>
      <c r="C69" s="13"/>
      <c r="D69" s="13"/>
      <c r="E69" s="13"/>
      <c r="F69" s="77">
        <v>0</v>
      </c>
      <c r="G69" s="2">
        <f>F69*128</f>
        <v>0</v>
      </c>
      <c r="H69" s="39"/>
    </row>
    <row r="70" spans="1:8" x14ac:dyDescent="0.25">
      <c r="A70" s="45" t="s">
        <v>26</v>
      </c>
      <c r="B70" s="46"/>
      <c r="C70" s="46"/>
      <c r="D70" s="46"/>
      <c r="E70" s="46"/>
      <c r="F70" s="78">
        <v>0</v>
      </c>
      <c r="G70" s="34">
        <f>F70*175</f>
        <v>0</v>
      </c>
      <c r="H70" s="39"/>
    </row>
    <row r="71" spans="1:8" ht="15" customHeight="1" x14ac:dyDescent="0.25">
      <c r="A71" s="12" t="s">
        <v>28</v>
      </c>
      <c r="B71" s="13"/>
      <c r="C71" s="13"/>
      <c r="D71" s="13"/>
      <c r="E71" s="13"/>
      <c r="F71" s="77">
        <v>0</v>
      </c>
      <c r="G71" s="2">
        <f>F71*275</f>
        <v>0</v>
      </c>
      <c r="H71" s="39"/>
    </row>
    <row r="72" spans="1:8" ht="15" customHeight="1" x14ac:dyDescent="0.25">
      <c r="A72" s="59" t="s">
        <v>27</v>
      </c>
      <c r="B72" s="60"/>
      <c r="C72" s="60"/>
      <c r="D72" s="60"/>
      <c r="E72" s="60"/>
      <c r="F72" s="68">
        <v>0</v>
      </c>
      <c r="G72" s="62">
        <f>F72*175</f>
        <v>0</v>
      </c>
      <c r="H72" s="39"/>
    </row>
    <row r="73" spans="1:8" x14ac:dyDescent="0.25">
      <c r="A73" s="65"/>
      <c r="B73" s="66"/>
      <c r="C73" s="66"/>
      <c r="D73" s="66"/>
      <c r="E73" s="66"/>
      <c r="F73" s="68"/>
      <c r="G73" s="62"/>
      <c r="H73" s="39"/>
    </row>
    <row r="74" spans="1:8" x14ac:dyDescent="0.25">
      <c r="A74" s="12" t="s">
        <v>29</v>
      </c>
      <c r="B74" s="13"/>
      <c r="C74" s="13"/>
      <c r="D74" s="13"/>
      <c r="E74" s="13"/>
      <c r="F74" s="77">
        <v>0</v>
      </c>
      <c r="G74" s="2">
        <f>F74*155</f>
        <v>0</v>
      </c>
      <c r="H74" s="39"/>
    </row>
    <row r="75" spans="1:8" x14ac:dyDescent="0.25">
      <c r="A75" s="45" t="s">
        <v>30</v>
      </c>
      <c r="B75" s="46"/>
      <c r="C75" s="46"/>
      <c r="D75" s="46"/>
      <c r="E75" s="46"/>
      <c r="F75" s="78">
        <v>0</v>
      </c>
      <c r="G75" s="34">
        <f>F75*290</f>
        <v>0</v>
      </c>
      <c r="H75" s="39"/>
    </row>
    <row r="76" spans="1:8" x14ac:dyDescent="0.25">
      <c r="A76" s="12" t="s">
        <v>31</v>
      </c>
      <c r="B76" s="13"/>
      <c r="C76" s="13"/>
      <c r="D76" s="13"/>
      <c r="E76" s="13"/>
      <c r="F76" s="77">
        <v>0</v>
      </c>
      <c r="G76" s="2">
        <f>F76*310</f>
        <v>0</v>
      </c>
      <c r="H76" s="39"/>
    </row>
    <row r="77" spans="1:8" x14ac:dyDescent="0.25">
      <c r="A77" s="45" t="s">
        <v>32</v>
      </c>
      <c r="B77" s="46"/>
      <c r="C77" s="46"/>
      <c r="D77" s="46"/>
      <c r="E77" s="46"/>
      <c r="F77" s="78">
        <v>0</v>
      </c>
      <c r="G77" s="34">
        <f>F77*300</f>
        <v>0</v>
      </c>
      <c r="H77" s="39"/>
    </row>
    <row r="78" spans="1:8" ht="15" customHeight="1" x14ac:dyDescent="0.25">
      <c r="A78" s="12" t="s">
        <v>33</v>
      </c>
      <c r="B78" s="13"/>
      <c r="C78" s="13"/>
      <c r="D78" s="13"/>
      <c r="E78" s="13"/>
      <c r="F78" s="77">
        <v>0</v>
      </c>
      <c r="G78" s="2">
        <f>F78*400</f>
        <v>0</v>
      </c>
      <c r="H78" s="39"/>
    </row>
    <row r="79" spans="1:8" ht="15" customHeight="1" x14ac:dyDescent="0.25">
      <c r="A79" s="59" t="s">
        <v>36</v>
      </c>
      <c r="B79" s="60"/>
      <c r="C79" s="60"/>
      <c r="D79" s="60"/>
      <c r="E79" s="60"/>
      <c r="F79" s="69">
        <v>0</v>
      </c>
      <c r="G79" s="62">
        <f>F79*205</f>
        <v>0</v>
      </c>
      <c r="H79" s="39"/>
    </row>
    <row r="80" spans="1:8" x14ac:dyDescent="0.25">
      <c r="A80" s="65"/>
      <c r="B80" s="66"/>
      <c r="C80" s="66"/>
      <c r="D80" s="66"/>
      <c r="E80" s="66"/>
      <c r="F80" s="70"/>
      <c r="G80" s="62"/>
      <c r="H80" s="39"/>
    </row>
    <row r="81" spans="1:14" x14ac:dyDescent="0.25">
      <c r="F81" s="54"/>
      <c r="H81" s="39"/>
    </row>
    <row r="82" spans="1:14" ht="24.95" customHeight="1" x14ac:dyDescent="0.25">
      <c r="A82" s="71" t="s">
        <v>34</v>
      </c>
      <c r="B82" s="71"/>
      <c r="C82" s="71"/>
      <c r="D82" s="71"/>
      <c r="E82" s="71"/>
      <c r="F82" s="71"/>
      <c r="G82" s="82">
        <f>SUM(G6:G40,G42:G80)</f>
        <v>0</v>
      </c>
      <c r="H82" s="39"/>
    </row>
    <row r="83" spans="1:14" ht="24.95" customHeight="1" x14ac:dyDescent="0.25">
      <c r="A83" s="71" t="s">
        <v>35</v>
      </c>
      <c r="B83" s="71"/>
      <c r="C83" s="71"/>
      <c r="D83" s="71"/>
      <c r="E83" s="71"/>
      <c r="F83" s="71"/>
      <c r="G83" s="83">
        <f>(G82*0.23)+G82</f>
        <v>0</v>
      </c>
      <c r="H83" s="39"/>
    </row>
    <row r="86" spans="1:14" x14ac:dyDescent="0.25">
      <c r="N86" s="5"/>
    </row>
    <row r="87" spans="1:14" x14ac:dyDescent="0.25">
      <c r="N87" s="5"/>
    </row>
  </sheetData>
  <mergeCells count="69">
    <mergeCell ref="A69:E69"/>
    <mergeCell ref="F72:F73"/>
    <mergeCell ref="F79:F80"/>
    <mergeCell ref="H1:H41"/>
    <mergeCell ref="A5:D5"/>
    <mergeCell ref="A68:E68"/>
    <mergeCell ref="A1:D2"/>
    <mergeCell ref="A3:D4"/>
    <mergeCell ref="H42:H83"/>
    <mergeCell ref="A41:E41"/>
    <mergeCell ref="A39:E39"/>
    <mergeCell ref="F50:F52"/>
    <mergeCell ref="F47:F49"/>
    <mergeCell ref="F43:F46"/>
    <mergeCell ref="F60:F62"/>
    <mergeCell ref="A42:E42"/>
    <mergeCell ref="F63:F66"/>
    <mergeCell ref="F57:F59"/>
    <mergeCell ref="F55:F56"/>
    <mergeCell ref="F53:F54"/>
    <mergeCell ref="A43:E46"/>
    <mergeCell ref="A47:E49"/>
    <mergeCell ref="A63:E66"/>
    <mergeCell ref="A60:E62"/>
    <mergeCell ref="A57:E59"/>
    <mergeCell ref="A55:E56"/>
    <mergeCell ref="A53:E54"/>
    <mergeCell ref="A50:E52"/>
    <mergeCell ref="G50:G52"/>
    <mergeCell ref="G53:G54"/>
    <mergeCell ref="G43:G46"/>
    <mergeCell ref="G47:G49"/>
    <mergeCell ref="G57:G59"/>
    <mergeCell ref="G72:G73"/>
    <mergeCell ref="A79:E80"/>
    <mergeCell ref="A78:E78"/>
    <mergeCell ref="A77:E77"/>
    <mergeCell ref="A76:E76"/>
    <mergeCell ref="A75:E75"/>
    <mergeCell ref="A74:E74"/>
    <mergeCell ref="A72:E73"/>
    <mergeCell ref="A71:E71"/>
    <mergeCell ref="A70:E70"/>
    <mergeCell ref="O13:X13"/>
    <mergeCell ref="P15:T15"/>
    <mergeCell ref="A28:E28"/>
    <mergeCell ref="A32:E32"/>
    <mergeCell ref="A36:E36"/>
    <mergeCell ref="A37:E37"/>
    <mergeCell ref="A38:E38"/>
    <mergeCell ref="A33:E33"/>
    <mergeCell ref="A34:E34"/>
    <mergeCell ref="A35:E35"/>
    <mergeCell ref="A40:E40"/>
    <mergeCell ref="A29:E29"/>
    <mergeCell ref="A27:E27"/>
    <mergeCell ref="A23:D23"/>
    <mergeCell ref="A22:D22"/>
    <mergeCell ref="A21:D21"/>
    <mergeCell ref="A19:D19"/>
    <mergeCell ref="A20:D20"/>
    <mergeCell ref="A16:D16"/>
    <mergeCell ref="A24:D24"/>
    <mergeCell ref="G55:G56"/>
    <mergeCell ref="G60:G62"/>
    <mergeCell ref="A82:F82"/>
    <mergeCell ref="A83:F83"/>
    <mergeCell ref="G63:G66"/>
    <mergeCell ref="G79:G8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Sučanský Peter</dc:creator>
  <cp:lastModifiedBy>Sučanský Peter</cp:lastModifiedBy>
  <cp:lastPrinted>2025-06-10T16:29:36Z</cp:lastPrinted>
  <dcterms:created xsi:type="dcterms:W3CDTF">2025-05-19T08:52:23Z</dcterms:created>
  <dcterms:modified xsi:type="dcterms:W3CDTF">2025-06-10T16:31:41Z</dcterms:modified>
</cp:coreProperties>
</file>