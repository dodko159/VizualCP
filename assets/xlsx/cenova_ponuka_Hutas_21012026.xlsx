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árok1" sheetId="1" r:id="rId4"/>
    <sheet state="visible" name="cena_dvere" sheetId="2" r:id="rId5"/>
  </sheets>
  <definedNames>
    <definedName name="door_frame">cena_dvere!$E$3</definedName>
    <definedName name="assembly">cena_dvere!$E$1</definedName>
    <definedName name="door_frame_sale">cena_dvere!$E$4</definedName>
    <definedName name="assembly_min">cena_dvere!$E$2</definedName>
  </definedNames>
  <calcPr/>
  <extLst>
    <ext uri="GoogleSheetsCustomDataVersion2">
      <go:sheetsCustomData xmlns:go="http://customooxmlschemas.google.com/" r:id="rId6" roundtripDataChecksum="diKRHcgii833TAaPsjkeST09pm/y/hCFihmwDX6Hxqo="/>
    </ext>
  </extLst>
</workbook>
</file>

<file path=xl/sharedStrings.xml><?xml version="1.0" encoding="utf-8"?>
<sst xmlns="http://schemas.openxmlformats.org/spreadsheetml/2006/main" count="233" uniqueCount="217">
  <si>
    <t>STOLÁRSTVO</t>
  </si>
  <si>
    <t>MENO:</t>
  </si>
  <si>
    <t>TELEFÓN:</t>
  </si>
  <si>
    <t>SUČANSKÝ</t>
  </si>
  <si>
    <t>ADRESA:</t>
  </si>
  <si>
    <t>E-MAIL:</t>
  </si>
  <si>
    <t>CENOVÁ PONUKA INTERIÉROVÉ DVERE</t>
  </si>
  <si>
    <t>MATERIÁL:</t>
  </si>
  <si>
    <t>ROZMER</t>
  </si>
  <si>
    <t>MODEL</t>
  </si>
  <si>
    <t>MATERIÁL</t>
  </si>
  <si>
    <t>SKLO</t>
  </si>
  <si>
    <t>CENA ZA KUS</t>
  </si>
  <si>
    <t>ZÁRUBEŇ</t>
  </si>
  <si>
    <t>POČET</t>
  </si>
  <si>
    <t>CENA BEZ DPH</t>
  </si>
  <si>
    <t>KĽUČKY nájdete na kluckynadvere.sk</t>
  </si>
  <si>
    <t>Rozeta - BB štandardný interiérový zámok</t>
  </si>
  <si>
    <t>Rozeta - WC zámok</t>
  </si>
  <si>
    <t>Rozeta - FAB zámok</t>
  </si>
  <si>
    <t>Montáž kľučiek a roziet 5€</t>
  </si>
  <si>
    <t>DOVOZ</t>
  </si>
  <si>
    <t>MESTO</t>
  </si>
  <si>
    <t>Okresné mesto. Cena prepravy je 0,5 € za km. Preprava sa počíta od výroby v obci Čachtice.</t>
  </si>
  <si>
    <t>Ulica</t>
  </si>
  <si>
    <t>Číslo domu</t>
  </si>
  <si>
    <t>Obec</t>
  </si>
  <si>
    <t>PSČ</t>
  </si>
  <si>
    <t>MONTÁŽ</t>
  </si>
  <si>
    <t>Akciová montáž dverí so zárubňou 25 € / kus. Akcia platí pri počte 6 a viac kusov. Minimálna suma na dvoch montážnikov je 150 €.</t>
  </si>
  <si>
    <t>ŠPECIÁLNE DOPLNKY</t>
  </si>
  <si>
    <t>Farebné krytky na pánty</t>
  </si>
  <si>
    <t>Farebné magnetické zámky</t>
  </si>
  <si>
    <t>Mušle na posuvné dvere</t>
  </si>
  <si>
    <t>Farebné skryté kovanie</t>
  </si>
  <si>
    <t>Náprstník na posuvné dvere</t>
  </si>
  <si>
    <t>Príplatok za striekanie</t>
  </si>
  <si>
    <t>Príplatok za dyhu</t>
  </si>
  <si>
    <t>Príplatok za sklo</t>
  </si>
  <si>
    <t>Vetracie mriežky do dverí</t>
  </si>
  <si>
    <t>MOŽNÉ PRÍPLATKY</t>
  </si>
  <si>
    <t>Výplň dutinková drevotrieska: Dvere môžu byť vyplnené papierovou voštinou alebo dutinkovou drevotrieskou za príplatok 30 €. Voština je papierová vrstva, dutinková drevotrieska je z drevenej štiepky. Dutinkovú drevotriesku odporúčame do dverí V1, ale môžu ísť do všetkých dverí z kategórie Vanesa a Petra. Dutinková drevotrieska je tažšia, pevnejšia a izolačnejšia.</t>
  </si>
  <si>
    <t>Silikónové tesnenie do zárubne 10 €/kus: Do zárubne vyfrézujeme drážku a do nej sa vsunie silikónové tesnenie. To má výhodu, že pri zatváraní sú dvere tichšie a keď sú zatvorené, tak silikónové tesnenie eliminuje zvuk zo susednej miestnosti.</t>
  </si>
  <si>
    <t>Vytmelenie nerovností medzi stenou a zárubňou 6 €/kus: Pri osadení zárubne môže pri krivých stenách vzniknúť medzera medzi stenou a zárubňou. Túto medzeru vieme vyplniť akrylovým silikónom. Vzhľadom na elasticitu silikónu sa dajú vymeniť iba medzery do 0,5 cm.</t>
  </si>
  <si>
    <t>Vynášanie na 3. a vyššie poschodie bez výťahu: Za vynášanie na 3. a vyššie poschodie bez výťahu sa účtuje príplatok za vynesenie dverí, zárubní, materiálu a náradia 100 €.</t>
  </si>
  <si>
    <t>Príplatok za steny hrubšie ako 20 cm 12 €/extra 10 cm: Ak sú steny hrubšie ako 20 cm, tak sa účtuje príplatok za extra materiál 12 € za každých extra 10 cm.</t>
  </si>
  <si>
    <t>Príplatok za dvere vyššie ako 207 cm 20 €/kus: Dvere s výškou 207 cm až 240 sm sú s príplatkom 20 €/kus za drahší materiál. Nie všetky materiály sa dajú dodať vo výške nad 207 cm.</t>
  </si>
  <si>
    <t>Obklad pôvodných oceľových zárubní 25 €/kus: Ak sa jedná o obklad pôvodných oveľových zárubní, tak sa účtuje príplatok 25€. Treba ale brať do úvahy, že pri obkladoch pôvodných zárubní sa stavebný otvor zúži o cca 3,5 cm z každej strany. To znamená cca 3,5 cm z hora a cca 7 cm zo šírky.</t>
  </si>
  <si>
    <t>Príplatok za zarezávanie obložiek 15 €/kus: Obložky sa pri montáži zarezávajú, ak sú nesprávne riešené stavebné otvory. Napríklad ak sú schody medzi miestnosťami viac ako 5 mm, ďalej ak nie sú úchyty na stenách na zárubnu a musí sa z obložky zrezávať, alebo ak je obklad v kúpelňi / WC do výšky menej ako je výška dverí a treva z obložky odfrézovať drážku.</t>
  </si>
  <si>
    <t>ŠPECIÁLNE PRÍPLATKY</t>
  </si>
  <si>
    <t>Cena zárubne na dvojkrídlové dvere 103 €. Montáž + 25 €.</t>
  </si>
  <si>
    <t>Posuvné dvere - kovanie Garniža 150 €. Montáž + 25 €.</t>
  </si>
  <si>
    <t>Posuvné dvere - kovanie Minima 250€. Montáž + 25 €.</t>
  </si>
  <si>
    <t>Posuvné dvere - kovanie do vstavaného púzdra 0 €. Zárubeň na vstavané púzdro 150 €. Montáž + 25 €.</t>
  </si>
  <si>
    <t>Príplatok za skryté pánty dvere 130 €. Montáž + 25 €.</t>
  </si>
  <si>
    <t>Príplatok za reverzné dvere 265 €. Montáž + 25 €.</t>
  </si>
  <si>
    <t>Dvojkrídlové bezfalcové dvere so zárubňou a montážou 285 €.
Montáž + 25 €.</t>
  </si>
  <si>
    <t>Príplatok za dvojkrídlové posuvné dvere garniža 250 €. Montáž + 50 €.</t>
  </si>
  <si>
    <t>Príplatok za dvojkrídlové posuvné dvere Minima 350 €. Montáž + 50 €.</t>
  </si>
  <si>
    <t>Príplatok za dvojkrídlové posuvné dvere do púzdra 0 €. Zárubeň na dvojkrídlové dvere do púzdra 180 €. Montáž + 25 €.</t>
  </si>
  <si>
    <t>Posuvné kovanie - Barn 1 čierne 150 €. Montáž + 25 €.</t>
  </si>
  <si>
    <t>Posuvné kovanie - Minima čierne 290 €. Montáž + 25 €.</t>
  </si>
  <si>
    <t>Dvere do púzdra so zárubňou 57 €. Montáž + 25 €.</t>
  </si>
  <si>
    <t>Dvere do púzdra bez zárubne 0 €. Montáž + 25 €.</t>
  </si>
  <si>
    <t>Dvojkrídlové dvere do púzdra 87 €. Montáž + 25 €.</t>
  </si>
  <si>
    <t>Zalamovacie interiérové dvere 220 €. Montáž + 50 €.</t>
  </si>
  <si>
    <t>Posuvné kovanie - neviditeľné 490 €. Montáž + 50 €.</t>
  </si>
  <si>
    <t>Posuvné kovanie - Barn 4 čierne 210 €. Montáž + 25 €.</t>
  </si>
  <si>
    <t>Posuvné kovanie - Barn 3 čierne 190 €. Montáž + 25 €.</t>
  </si>
  <si>
    <t>Posuvné kovanie - Barn 2 čierne 180 €. Montáž + 25 €.</t>
  </si>
  <si>
    <t>CENA SPOLU BEZ DPH</t>
  </si>
  <si>
    <t>CENA SPOLU S DPH</t>
  </si>
  <si>
    <t>Code</t>
  </si>
  <si>
    <t>Price</t>
  </si>
  <si>
    <t>Assembly</t>
  </si>
  <si>
    <t>B1</t>
  </si>
  <si>
    <t>Assembly min</t>
  </si>
  <si>
    <t>B2</t>
  </si>
  <si>
    <t>Door frame</t>
  </si>
  <si>
    <t>B3</t>
  </si>
  <si>
    <t>Door frame sale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</si>
  <si>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</si>
  <si>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</si>
  <si>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</si>
  <si>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</si>
  <si>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</si>
  <si>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</si>
  <si>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</si>
  <si>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</si>
  <si>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</si>
  <si>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</si>
  <si>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</si>
  <si>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</si>
  <si>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</si>
  <si>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</si>
  <si>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</si>
  <si>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</si>
  <si>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</si>
  <si>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</si>
  <si>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</si>
  <si>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</si>
  <si>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</si>
  <si>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</si>
  <si>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</si>
  <si>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</si>
  <si>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</si>
  <si>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</si>
  <si>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</si>
  <si>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</si>
  <si>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</si>
  <si>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</si>
  <si>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</si>
  <si>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</si>
  <si>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</si>
  <si>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</si>
  <si>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</si>
  <si>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</si>
  <si>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</si>
  <si>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</si>
  <si>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</si>
  <si>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</si>
  <si>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</si>
  <si>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</si>
  <si>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</si>
  <si>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</si>
  <si>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</si>
  <si>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</si>
  <si>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</si>
  <si>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</si>
  <si>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</si>
  <si>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</si>
  <si>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</si>
  <si>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</si>
  <si>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</si>
  <si>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</si>
  <si>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</si>
  <si>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</si>
  <si>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</si>
  <si>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</si>
  <si>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</si>
  <si>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</si>
  <si>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</si>
  <si>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</si>
  <si>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</si>
  <si>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</si>
  <si>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</si>
  <si>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</si>
  <si>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</si>
  <si>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</si>
  <si>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R13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</si>
  <si>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</si>
  <si>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</si>
  <si>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</si>
  <si>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</si>
  <si>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</si>
  <si>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</si>
  <si>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</si>
  <si>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</si>
  <si>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</si>
  <si>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</si>
  <si>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</si>
  <si>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</si>
  <si>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</si>
  <si>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</si>
  <si>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</si>
  <si>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</si>
  <si>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</si>
  <si>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</si>
  <si>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</si>
  <si>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</si>
  <si>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</si>
  <si>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</si>
  <si>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</si>
  <si>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W1_L1_K1_O1</t>
  </si>
  <si>
    <t>W1_L1_K1_O1_S</t>
  </si>
  <si>
    <t>W1_L2_K1_O1</t>
  </si>
  <si>
    <t>W1_L2_K1_O1_S</t>
  </si>
  <si>
    <t>W1_L1_K2_O1</t>
  </si>
  <si>
    <t>W1_L2_K2_O1</t>
  </si>
  <si>
    <t>W1_L1_K1_O2</t>
  </si>
  <si>
    <t>W1_L1_K1_O2_S</t>
  </si>
  <si>
    <t>W1_L2_K1_O2</t>
  </si>
  <si>
    <t>W1_L2_K1_O2_S</t>
  </si>
  <si>
    <t>W1_L1_K2_O2</t>
  </si>
  <si>
    <t>W1_L2_K2_O2</t>
  </si>
  <si>
    <t>W2_L1_K1_O1</t>
  </si>
  <si>
    <t>W2_L1_K1_O1_S</t>
  </si>
  <si>
    <t>W2_L2_K1_O1</t>
  </si>
  <si>
    <t>W2_L2_K1_O1_S</t>
  </si>
  <si>
    <t>W2_L1_K2_O1</t>
  </si>
  <si>
    <t>W2_L1_K2_O1_S</t>
  </si>
  <si>
    <t>W2_L2_K2_O1</t>
  </si>
  <si>
    <t>W2_L2_K2_O1_S</t>
  </si>
  <si>
    <t>W2_L1_K1_O2</t>
  </si>
  <si>
    <t>W2_L1_K1_O2_S</t>
  </si>
  <si>
    <t>W2_L2_K1_O2</t>
  </si>
  <si>
    <t>W2_L2_K1_O2_S</t>
  </si>
  <si>
    <t>W2_L1_K2_O2</t>
  </si>
  <si>
    <t>W2_L1_K2_O2_S</t>
  </si>
  <si>
    <t>W2_L2_K2_O2</t>
  </si>
  <si>
    <t>W2_L2_K2_O2_S</t>
  </si>
  <si>
    <t>W3_L1_K1_O1</t>
  </si>
  <si>
    <t>W3_L1_K1_O1_S</t>
  </si>
  <si>
    <t>W3_L2_K1_O1</t>
  </si>
  <si>
    <t>W3_L2_K1_O1_S</t>
  </si>
  <si>
    <t>W3_L1_K2_O1</t>
  </si>
  <si>
    <t>W3_L1_K2_O1_S</t>
  </si>
  <si>
    <t>W3_L2_K2_O1</t>
  </si>
  <si>
    <t>W3_L2_K2_O1_S</t>
  </si>
  <si>
    <t>W3_L1_K1_O2</t>
  </si>
  <si>
    <t>W3_L1_K1_O2_S</t>
  </si>
  <si>
    <t>W3_L2_K1_O2</t>
  </si>
  <si>
    <t>W3_L2_K1_O2_S</t>
  </si>
  <si>
    <t>W3_L1_K2_O2</t>
  </si>
  <si>
    <t>W3_L1_K2_O2_S</t>
  </si>
  <si>
    <t>W3_L2_K2_O2</t>
  </si>
  <si>
    <t>W3_L2_K2_O2_S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</si>
</sst>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sz val="24.0"/>
      <color theme="0"/>
      <name val="Aptos Black"/>
    </font>
    <font/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  <font>
      <sz val="10.0"/>
      <color theme="1"/>
      <name val="Aptos Narrow"/>
    </font>
    <font>
      <b/>
      <sz val="11.0"/>
      <color theme="1"/>
      <name val="Arial"/>
    </font>
    <font>
      <sz val="10.0"/>
      <color theme="1"/>
      <name val="Arial"/>
    </font>
    <font>
      <b/>
      <sz val="24.0"/>
      <color theme="0"/>
      <name val="Aptos Black"/>
    </font>
    <font>
      <b/>
      <sz val="20.0"/>
      <color theme="1"/>
      <name val="Aptos Narrow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E3639"/>
        <bgColor rgb="FFCE3639"/>
      </patternFill>
    </fill>
    <fill>
      <patternFill patternType="solid">
        <fgColor rgb="FFF8F1F1"/>
        <bgColor rgb="FFF8F1F1"/>
      </patternFill>
    </fill>
    <fill>
      <patternFill patternType="solid">
        <fgColor rgb="FFF6D6D7"/>
        <bgColor rgb="FFF6D6D7"/>
      </patternFill>
    </fill>
    <fill>
      <patternFill patternType="solid">
        <fgColor theme="0"/>
        <bgColor theme="0"/>
      </patternFill>
    </fill>
  </fills>
  <borders count="34">
    <border/>
    <border>
      <left/>
      <top/>
    </border>
    <border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bottom/>
    </border>
    <border>
      <bottom/>
    </border>
    <border>
      <right/>
      <bottom/>
    </border>
    <border>
      <left/>
      <right/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3" numFmtId="0" xfId="0" applyAlignment="1" applyBorder="1" applyFill="1" applyFont="1">
      <alignment vertical="center"/>
    </xf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3" fontId="4" numFmtId="49" xfId="0" applyAlignment="1" applyBorder="1" applyFont="1" applyNumberFormat="1">
      <alignment vertical="center"/>
    </xf>
    <xf borderId="11" fillId="0" fontId="2" numFmtId="0" xfId="0" applyBorder="1" applyFont="1"/>
    <xf borderId="1" fillId="2" fontId="1" numFmtId="0" xfId="0" applyAlignment="1" applyBorder="1" applyFont="1">
      <alignment horizontal="center" shrinkToFit="0" vertical="top" wrapText="1"/>
    </xf>
    <xf borderId="12" fillId="0" fontId="5" numFmtId="0" xfId="0" applyAlignment="1" applyBorder="1" applyFont="1">
      <alignment horizontal="left" vertical="center"/>
    </xf>
    <xf borderId="12" fillId="0" fontId="2" numFmtId="0" xfId="0" applyBorder="1" applyFont="1"/>
    <xf borderId="12" fillId="0" fontId="5" numFmtId="0" xfId="0" applyAlignment="1" applyBorder="1" applyFont="1">
      <alignment vertical="center"/>
    </xf>
    <xf borderId="13" fillId="3" fontId="5" numFmtId="0" xfId="0" applyAlignment="1" applyBorder="1" applyFont="1">
      <alignment vertical="center"/>
    </xf>
    <xf borderId="14" fillId="0" fontId="2" numFmtId="0" xfId="0" applyBorder="1" applyFont="1"/>
    <xf borderId="15" fillId="0" fontId="2" numFmtId="0" xfId="0" applyBorder="1" applyFont="1"/>
    <xf borderId="0" fillId="0" fontId="3" numFmtId="0" xfId="0" applyFont="1"/>
    <xf borderId="16" fillId="3" fontId="3" numFmtId="0" xfId="0" applyAlignment="1" applyBorder="1" applyFont="1">
      <alignment horizontal="center" vertical="center"/>
    </xf>
    <xf borderId="16" fillId="4" fontId="3" numFmtId="0" xfId="0" applyAlignment="1" applyBorder="1" applyFill="1" applyFont="1">
      <alignment horizontal="center" vertical="center"/>
    </xf>
    <xf borderId="17" fillId="4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6" fillId="3" fontId="4" numFmtId="0" xfId="0" applyAlignment="1" applyBorder="1" applyFont="1">
      <alignment horizontal="center" readingOrder="0" vertical="center"/>
    </xf>
    <xf borderId="16" fillId="3" fontId="3" numFmtId="0" xfId="0" applyAlignment="1" applyBorder="1" applyFont="1">
      <alignment horizontal="center"/>
    </xf>
    <xf borderId="16" fillId="5" fontId="3" numFmtId="0" xfId="0" applyAlignment="1" applyBorder="1" applyFill="1" applyFont="1">
      <alignment horizontal="center"/>
    </xf>
    <xf borderId="17" fillId="3" fontId="3" numFmtId="0" xfId="0" applyAlignment="1" applyBorder="1" applyFont="1">
      <alignment horizontal="center"/>
    </xf>
    <xf borderId="16" fillId="5" fontId="4" numFmtId="0" xfId="0" applyAlignment="1" applyBorder="1" applyFont="1">
      <alignment horizontal="center" readingOrder="0" vertical="center"/>
    </xf>
    <xf borderId="16" fillId="4" fontId="3" numFmtId="0" xfId="0" applyAlignment="1" applyBorder="1" applyFont="1">
      <alignment horizontal="center"/>
    </xf>
    <xf borderId="17" fillId="4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16" fillId="5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8" fillId="5" fontId="3" numFmtId="0" xfId="0" applyAlignment="1" applyBorder="1" applyFont="1">
      <alignment horizontal="center" vertical="center"/>
    </xf>
    <xf borderId="18" fillId="5" fontId="4" numFmtId="0" xfId="0" applyAlignment="1" applyBorder="1" applyFont="1">
      <alignment horizontal="center" vertical="center"/>
    </xf>
    <xf borderId="18" fillId="5" fontId="3" numFmtId="0" xfId="0" applyAlignment="1" applyBorder="1" applyFont="1">
      <alignment horizontal="center"/>
    </xf>
    <xf borderId="19" fillId="3" fontId="5" numFmtId="0" xfId="0" applyAlignment="1" applyBorder="1" applyFont="1">
      <alignment horizontal="left" vertical="center"/>
    </xf>
    <xf borderId="20" fillId="0" fontId="2" numFmtId="0" xfId="0" applyBorder="1" applyFont="1"/>
    <xf borderId="21" fillId="0" fontId="2" numFmtId="0" xfId="0" applyBorder="1" applyFont="1"/>
    <xf borderId="22" fillId="4" fontId="3" numFmtId="0" xfId="0" applyAlignment="1" applyBorder="1" applyFont="1">
      <alignment horizontal="center" vertical="center"/>
    </xf>
    <xf borderId="22" fillId="3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left" vertical="center"/>
    </xf>
    <xf borderId="17" fillId="3" fontId="3" numFmtId="0" xfId="0" applyAlignment="1" applyBorder="1" applyFont="1">
      <alignment horizontal="center" vertical="center"/>
    </xf>
    <xf borderId="22" fillId="5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vertical="center"/>
    </xf>
    <xf borderId="19" fillId="0" fontId="6" numFmtId="0" xfId="0" applyAlignment="1" applyBorder="1" applyFont="1">
      <alignment horizontal="left" vertical="center"/>
    </xf>
    <xf borderId="19" fillId="3" fontId="7" numFmtId="0" xfId="0" applyAlignment="1" applyBorder="1" applyFont="1">
      <alignment horizontal="left" vertical="center"/>
    </xf>
    <xf borderId="16" fillId="4" fontId="4" numFmtId="0" xfId="0" applyAlignment="1" applyBorder="1" applyFont="1">
      <alignment horizontal="center" vertical="center"/>
    </xf>
    <xf borderId="16" fillId="3" fontId="4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left" shrinkToFit="0" vertical="center" wrapText="1"/>
    </xf>
    <xf borderId="16" fillId="5" fontId="4" numFmtId="0" xfId="0" applyAlignment="1" applyBorder="1" applyFont="1">
      <alignment horizontal="center" vertical="center"/>
    </xf>
    <xf borderId="19" fillId="3" fontId="8" numFmtId="0" xfId="0" applyAlignment="1" applyBorder="1" applyFont="1">
      <alignment horizontal="left" shrinkToFit="0" vertical="center" wrapText="1"/>
    </xf>
    <xf borderId="19" fillId="4" fontId="4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left" shrinkToFit="0" vertical="center" wrapText="1"/>
    </xf>
    <xf borderId="19" fillId="3" fontId="4" numFmtId="0" xfId="0" applyAlignment="1" applyBorder="1" applyFont="1">
      <alignment horizontal="center" vertical="center"/>
    </xf>
    <xf borderId="18" fillId="5" fontId="3" numFmtId="0" xfId="0" applyBorder="1" applyFont="1"/>
    <xf borderId="19" fillId="5" fontId="6" numFmtId="0" xfId="0" applyAlignment="1" applyBorder="1" applyFont="1">
      <alignment horizontal="left" shrinkToFit="0" vertical="center" wrapText="1"/>
    </xf>
    <xf borderId="23" fillId="4" fontId="3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 vertical="center"/>
    </xf>
    <xf borderId="19" fillId="5" fontId="6" numFmtId="0" xfId="0" applyAlignment="1" applyBorder="1" applyFont="1">
      <alignment horizontal="left" vertical="center"/>
    </xf>
    <xf borderId="19" fillId="0" fontId="3" numFmtId="0" xfId="0" applyAlignment="1" applyBorder="1" applyFont="1">
      <alignment horizontal="center" vertical="center"/>
    </xf>
    <xf borderId="16" fillId="5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24" fillId="0" fontId="2" numFmtId="0" xfId="0" applyBorder="1" applyFont="1"/>
    <xf borderId="25" fillId="0" fontId="6" numFmtId="0" xfId="0" applyAlignment="1" applyBorder="1" applyFont="1">
      <alignment horizontal="left" shrinkToFit="0" vertical="center" wrapText="1"/>
    </xf>
    <xf borderId="26" fillId="0" fontId="2" numFmtId="0" xfId="0" applyBorder="1" applyFont="1"/>
    <xf borderId="27" fillId="3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8" fillId="3" fontId="6" numFmtId="0" xfId="0" applyAlignment="1" applyBorder="1" applyFont="1">
      <alignment horizontal="left" shrinkToFit="0" vertical="center" wrapText="1"/>
    </xf>
    <xf borderId="29" fillId="0" fontId="2" numFmtId="0" xfId="0" applyBorder="1" applyFont="1"/>
    <xf borderId="30" fillId="0" fontId="2" numFmtId="0" xfId="0" applyBorder="1" applyFont="1"/>
    <xf borderId="31" fillId="4" fontId="6" numFmtId="0" xfId="0" applyAlignment="1" applyBorder="1" applyFont="1">
      <alignment horizontal="center" shrinkToFit="0" vertical="center" wrapText="1"/>
    </xf>
    <xf borderId="23" fillId="3" fontId="6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3" numFmtId="0" xfId="0" applyAlignment="1" applyFont="1">
      <alignment horizontal="left" vertical="center"/>
    </xf>
    <xf borderId="18" fillId="5" fontId="3" numFmtId="0" xfId="0" applyAlignment="1" applyBorder="1" applyFont="1">
      <alignment vertical="center"/>
    </xf>
    <xf borderId="22" fillId="3" fontId="6" numFmtId="0" xfId="0" applyAlignment="1" applyBorder="1" applyFont="1">
      <alignment horizontal="center" vertical="center"/>
    </xf>
    <xf borderId="16" fillId="5" fontId="6" numFmtId="0" xfId="0" applyAlignment="1" applyBorder="1" applyFont="1">
      <alignment horizontal="center" vertical="center"/>
    </xf>
    <xf borderId="32" fillId="0" fontId="2" numFmtId="0" xfId="0" applyBorder="1" applyFont="1"/>
    <xf borderId="22" fillId="4" fontId="6" numFmtId="0" xfId="0" applyAlignment="1" applyBorder="1" applyFont="1">
      <alignment horizontal="center" vertical="center"/>
    </xf>
    <xf borderId="16" fillId="3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left" shrinkToFit="0" vertical="center" wrapText="1"/>
    </xf>
    <xf borderId="19" fillId="3" fontId="6" numFmtId="0" xfId="0" applyAlignment="1" applyBorder="1" applyFont="1">
      <alignment horizontal="left" shrinkToFit="0" vertical="center" wrapText="1"/>
    </xf>
    <xf borderId="33" fillId="4" fontId="6" numFmtId="0" xfId="0" applyAlignment="1" applyBorder="1" applyFont="1">
      <alignment horizontal="center" shrinkToFit="0" vertical="center" wrapText="1"/>
    </xf>
    <xf borderId="16" fillId="3" fontId="6" numFmtId="0" xfId="0" applyAlignment="1" applyBorder="1" applyFont="1">
      <alignment horizontal="center" shrinkToFit="0" vertical="center" wrapText="1"/>
    </xf>
    <xf borderId="19" fillId="2" fontId="9" numFmtId="0" xfId="0" applyAlignment="1" applyBorder="1" applyFont="1">
      <alignment horizontal="left" vertical="center"/>
    </xf>
    <xf borderId="16" fillId="3" fontId="10" numFmtId="0" xfId="0" applyAlignment="1" applyBorder="1" applyFont="1">
      <alignment horizontal="center" vertical="center"/>
    </xf>
    <xf borderId="16" fillId="4" fontId="10" numFmtId="0" xfId="0" applyAlignment="1" applyBorder="1" applyFont="1">
      <alignment horizontal="center" vertical="center"/>
    </xf>
    <xf borderId="0" fillId="0" fontId="3" numFmtId="2" xfId="0" applyFont="1" applyNumberFormat="1"/>
    <xf borderId="0" fillId="0" fontId="1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16.0"/>
    <col customWidth="1" min="4" max="4" width="9.38"/>
    <col customWidth="1" min="5" max="5" width="12.5"/>
    <col customWidth="1" min="6" max="6" width="13.0"/>
    <col customWidth="1" min="7" max="7" width="7.38"/>
    <col customWidth="1" min="8" max="8" width="14.5"/>
    <col customWidth="1" min="9" max="9" width="2.5"/>
    <col customWidth="1" min="10" max="14" width="9.0"/>
    <col customWidth="1" min="15" max="15" width="30.5"/>
    <col customWidth="1" min="16" max="16" width="13.63"/>
    <col customWidth="1" min="17" max="27" width="7.63"/>
  </cols>
  <sheetData>
    <row r="1" ht="16.5" customHeight="1">
      <c r="A1" s="1" t="s">
        <v>0</v>
      </c>
      <c r="B1" s="2"/>
      <c r="C1" s="2"/>
      <c r="D1" s="3"/>
      <c r="E1" s="4" t="s">
        <v>1</v>
      </c>
      <c r="F1" s="5"/>
      <c r="G1" s="6"/>
      <c r="H1" s="7"/>
      <c r="I1" s="8"/>
      <c r="P1" s="4"/>
    </row>
    <row r="2" ht="16.5" customHeight="1">
      <c r="A2" s="9"/>
      <c r="B2" s="10"/>
      <c r="C2" s="10"/>
      <c r="D2" s="11"/>
      <c r="E2" s="4" t="s">
        <v>2</v>
      </c>
      <c r="F2" s="12"/>
      <c r="G2" s="6"/>
      <c r="H2" s="7"/>
      <c r="I2" s="13"/>
      <c r="P2" s="4"/>
    </row>
    <row r="3" ht="16.5" customHeight="1">
      <c r="A3" s="14" t="s">
        <v>3</v>
      </c>
      <c r="B3" s="2"/>
      <c r="C3" s="2"/>
      <c r="D3" s="3"/>
      <c r="E3" s="4" t="s">
        <v>4</v>
      </c>
      <c r="F3" s="5"/>
      <c r="G3" s="6"/>
      <c r="H3" s="7"/>
      <c r="I3" s="13"/>
      <c r="P3" s="4"/>
    </row>
    <row r="4" ht="16.5" customHeight="1">
      <c r="A4" s="9"/>
      <c r="B4" s="10"/>
      <c r="C4" s="10"/>
      <c r="D4" s="11"/>
      <c r="E4" s="4" t="s">
        <v>5</v>
      </c>
      <c r="F4" s="5"/>
      <c r="G4" s="6"/>
      <c r="H4" s="7"/>
      <c r="I4" s="13"/>
      <c r="P4" s="4"/>
    </row>
    <row r="5" ht="19.5" customHeight="1">
      <c r="A5" s="15" t="s">
        <v>6</v>
      </c>
      <c r="B5" s="16"/>
      <c r="C5" s="16"/>
      <c r="D5" s="16"/>
      <c r="E5" s="17" t="s">
        <v>7</v>
      </c>
      <c r="F5" s="18"/>
      <c r="G5" s="19"/>
      <c r="H5" s="20"/>
      <c r="I5" s="13"/>
      <c r="J5" s="21"/>
      <c r="K5" s="21"/>
      <c r="L5" s="21"/>
      <c r="M5" s="21"/>
      <c r="N5" s="21"/>
      <c r="O5" s="21"/>
      <c r="P5" s="4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ht="18.0" customHeight="1">
      <c r="A6" s="22" t="s">
        <v>8</v>
      </c>
      <c r="B6" s="23" t="s">
        <v>9</v>
      </c>
      <c r="C6" s="22" t="s">
        <v>10</v>
      </c>
      <c r="D6" s="23" t="s">
        <v>11</v>
      </c>
      <c r="E6" s="22" t="s">
        <v>12</v>
      </c>
      <c r="F6" s="24" t="s">
        <v>13</v>
      </c>
      <c r="G6" s="22" t="s">
        <v>14</v>
      </c>
      <c r="H6" s="23" t="s">
        <v>15</v>
      </c>
      <c r="I6" s="13"/>
      <c r="J6" s="21"/>
      <c r="K6" s="21"/>
      <c r="L6" s="21"/>
      <c r="M6" s="21"/>
      <c r="N6" s="21"/>
      <c r="O6" s="21"/>
      <c r="P6" s="4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ht="18.0" customHeight="1">
      <c r="A7" s="25"/>
      <c r="B7" s="26"/>
      <c r="C7" s="25"/>
      <c r="D7" s="27"/>
      <c r="E7" s="28">
        <f>IFERROR(VLOOKUP(B7, cena_dvere!A:B, 2, FALSE), 0)+IF(A7&lt;=69, 0,IF(A7&lt;=79, 3,IF(A7&lt;=89, 6, 9)))</f>
        <v>0</v>
      </c>
      <c r="F7" s="29" t="b">
        <f t="shared" ref="F7:F15" si="1">TRUE</f>
        <v>1</v>
      </c>
      <c r="G7" s="30"/>
      <c r="H7" s="22">
        <f>IF(ISBLANK(B7),0, G7*E7+IF(F7, IF(B7="v1", door_frame_sale, door_frame), 0))</f>
        <v>0</v>
      </c>
      <c r="I7" s="13"/>
      <c r="J7" s="21"/>
      <c r="K7" s="21"/>
      <c r="L7" s="21"/>
      <c r="M7" s="21"/>
      <c r="N7" s="21"/>
      <c r="O7" s="21"/>
      <c r="P7" s="4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ht="18.0" customHeight="1">
      <c r="A8" s="22"/>
      <c r="B8" s="23"/>
      <c r="C8" s="22"/>
      <c r="D8" s="31"/>
      <c r="E8" s="27">
        <f>IFERROR(VLOOKUP(B8, cena_dvere!A:B, 2, FALSE), 0)+IF(A8&lt;=69, 0,IF(A8&lt;=79, 3,IF(A8&lt;=89, 6, 9)))</f>
        <v>0</v>
      </c>
      <c r="F8" s="32" t="b">
        <f t="shared" si="1"/>
        <v>1</v>
      </c>
      <c r="G8" s="22"/>
      <c r="H8" s="23">
        <f>IF(ISBLANK(B8),0, G8*E8+IF(F8, IF(B8="v1", door_frame_sale, door_frame), 0))</f>
        <v>0</v>
      </c>
      <c r="I8" s="13"/>
      <c r="J8" s="21"/>
      <c r="K8" s="21"/>
      <c r="L8" s="21"/>
      <c r="M8" s="21"/>
      <c r="N8" s="21"/>
      <c r="O8" s="21"/>
      <c r="P8" s="4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ht="18.0" customHeight="1">
      <c r="A9" s="25"/>
      <c r="B9" s="22"/>
      <c r="C9" s="25"/>
      <c r="D9" s="27"/>
      <c r="E9" s="33">
        <f>IFERROR(VLOOKUP(B9, cena_dvere!A:B, 2, FALSE), 0)+IF(A9&lt;=69, 0,IF(A9&lt;=79, 3,IF(A9&lt;=89, 6, 9)))</f>
        <v>0</v>
      </c>
      <c r="F9" s="29" t="b">
        <f t="shared" si="1"/>
        <v>1</v>
      </c>
      <c r="G9" s="34"/>
      <c r="H9" s="22">
        <f>IF(ISBLANK(B9),0, G9*E9+IF(F9, IF(B9="v1", door_frame_sale, door_frame), 0))</f>
        <v>0</v>
      </c>
      <c r="I9" s="13"/>
      <c r="J9" s="21"/>
      <c r="K9" s="21"/>
      <c r="L9" s="21"/>
      <c r="M9" s="21"/>
      <c r="N9" s="21"/>
      <c r="O9" s="21"/>
      <c r="P9" s="4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ht="18.0" customHeight="1">
      <c r="A10" s="22"/>
      <c r="B10" s="23"/>
      <c r="C10" s="22"/>
      <c r="D10" s="31"/>
      <c r="E10" s="27">
        <f>IFERROR(VLOOKUP(B10, cena_dvere!A:B, 2, FALSE), 0)+IF(A10&lt;=69, 0,IF(A10&lt;=79, 3,IF(A10&lt;=89, 6, 9)))</f>
        <v>0</v>
      </c>
      <c r="F10" s="32" t="b">
        <f t="shared" si="1"/>
        <v>1</v>
      </c>
      <c r="G10" s="22"/>
      <c r="H10" s="23">
        <f>IF(ISBLANK(B10),0, G10*E10+IF(F10, IF(B10="v1", door_frame_sale, door_frame), 0))</f>
        <v>0</v>
      </c>
      <c r="I10" s="13"/>
      <c r="J10" s="21"/>
      <c r="K10" s="21"/>
      <c r="L10" s="21"/>
      <c r="M10" s="21"/>
      <c r="N10" s="21"/>
      <c r="O10" s="21"/>
      <c r="P10" s="4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ht="18.0" customHeight="1">
      <c r="A11" s="25"/>
      <c r="B11" s="22"/>
      <c r="C11" s="25"/>
      <c r="D11" s="27"/>
      <c r="E11" s="33">
        <f>IFERROR(VLOOKUP(B11, cena_dvere!A:B, 2, FALSE), 0)+IF(A11&lt;=69, 0,IF(A11&lt;=79, 3,IF(A11&lt;=89, 6, 9)))</f>
        <v>0</v>
      </c>
      <c r="F11" s="29" t="b">
        <f t="shared" si="1"/>
        <v>1</v>
      </c>
      <c r="G11" s="34"/>
      <c r="H11" s="22">
        <f>IF(ISBLANK(B11),0, G11*E11+IF(F11, IF(B11="v1", door_frame_sale, door_frame), 0))</f>
        <v>0</v>
      </c>
      <c r="I11" s="13"/>
      <c r="J11" s="21"/>
      <c r="K11" s="21"/>
      <c r="L11" s="21"/>
      <c r="M11" s="21"/>
      <c r="N11" s="21"/>
      <c r="O11" s="21"/>
      <c r="P11" s="4"/>
      <c r="Q11" s="4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ht="18.0" customHeight="1">
      <c r="A12" s="22"/>
      <c r="B12" s="23"/>
      <c r="C12" s="22"/>
      <c r="D12" s="31"/>
      <c r="E12" s="27">
        <f>IFERROR(VLOOKUP(B12, cena_dvere!A:B, 2, FALSE), 0)+IF(A12&lt;=69, 0,IF(A12&lt;=79, 3,IF(A12&lt;=89, 6, 9)))</f>
        <v>0</v>
      </c>
      <c r="F12" s="32" t="b">
        <f t="shared" si="1"/>
        <v>1</v>
      </c>
      <c r="G12" s="22"/>
      <c r="H12" s="23">
        <f>IF(ISBLANK(B12),0, G12*E12+IF(F12, IF(B12="v1", door_frame_sale, door_frame), 0))</f>
        <v>0</v>
      </c>
      <c r="I12" s="13"/>
      <c r="J12" s="21"/>
      <c r="K12" s="21"/>
      <c r="L12" s="21"/>
      <c r="M12" s="21"/>
      <c r="N12" s="21"/>
      <c r="O12" s="21"/>
      <c r="P12" s="4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ht="18.0" customHeight="1">
      <c r="A13" s="25"/>
      <c r="B13" s="22"/>
      <c r="C13" s="25"/>
      <c r="D13" s="27"/>
      <c r="E13" s="33">
        <f>IFERROR(VLOOKUP(B13, cena_dvere!A:B, 2, FALSE), 0)+IF(A13&lt;=69, 0,IF(A13&lt;=79, 3,IF(A13&lt;=89, 6, 9)))</f>
        <v>0</v>
      </c>
      <c r="F13" s="29" t="b">
        <f t="shared" si="1"/>
        <v>1</v>
      </c>
      <c r="G13" s="34"/>
      <c r="H13" s="22">
        <f>IF(ISBLANK(B13),0, G13*E13+IF(F13, IF(B13="v1", door_frame_sale, door_frame), 0))</f>
        <v>0</v>
      </c>
      <c r="I13" s="13"/>
      <c r="J13" s="21"/>
      <c r="K13" s="21"/>
      <c r="L13" s="21"/>
      <c r="M13" s="21"/>
      <c r="N13" s="21"/>
      <c r="O13" s="21"/>
      <c r="P13" s="35"/>
      <c r="Z13" s="21"/>
      <c r="AA13" s="21"/>
    </row>
    <row r="14" ht="18.0" customHeight="1">
      <c r="A14" s="22"/>
      <c r="B14" s="23"/>
      <c r="C14" s="22"/>
      <c r="D14" s="31"/>
      <c r="E14" s="27">
        <f>IFERROR(VLOOKUP(B14, cena_dvere!A:B, 2, FALSE), 0)+IF(A14&lt;=69, 0,IF(A14&lt;=79, 3,IF(A14&lt;=89, 6, 9)))</f>
        <v>0</v>
      </c>
      <c r="F14" s="32" t="b">
        <f t="shared" si="1"/>
        <v>1</v>
      </c>
      <c r="G14" s="22"/>
      <c r="H14" s="23">
        <f>IF(ISBLANK(B14),0, G14*E14+IF(F14, IF(B14="v1", door_frame_sale, door_frame), 0))</f>
        <v>0</v>
      </c>
      <c r="I14" s="13"/>
      <c r="J14" s="21"/>
      <c r="K14" s="21"/>
      <c r="L14" s="21"/>
      <c r="M14" s="21"/>
      <c r="N14" s="21"/>
      <c r="O14" s="21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21"/>
      <c r="AA14" s="21"/>
    </row>
    <row r="15" ht="18.0" customHeight="1">
      <c r="A15" s="25"/>
      <c r="B15" s="22"/>
      <c r="C15" s="25"/>
      <c r="D15" s="27"/>
      <c r="E15" s="33">
        <f>IFERROR(VLOOKUP(B15, cena_dvere!A:B, 2, FALSE), 0)+IF(A15&lt;=69, 0,IF(A15&lt;=79, 3,IF(A15&lt;=89, 6, 9)))</f>
        <v>0</v>
      </c>
      <c r="F15" s="29" t="b">
        <f t="shared" si="1"/>
        <v>1</v>
      </c>
      <c r="G15" s="34"/>
      <c r="H15" s="22">
        <f>IF(ISBLANK(B15),0, G15*E15+IF(F15, IF(B15="v1", door_frame_sale, door_frame), 0))</f>
        <v>0</v>
      </c>
      <c r="I15" s="13"/>
      <c r="J15" s="21"/>
      <c r="K15" s="21"/>
      <c r="L15" s="21"/>
      <c r="M15" s="21"/>
      <c r="N15" s="21"/>
      <c r="O15" s="21"/>
      <c r="P15" s="4"/>
      <c r="Q15" s="36"/>
      <c r="V15" s="21"/>
      <c r="W15" s="21"/>
      <c r="X15" s="21"/>
      <c r="Y15" s="21"/>
      <c r="Z15" s="21"/>
      <c r="AA15" s="21"/>
    </row>
    <row r="16" ht="18.0" customHeight="1">
      <c r="A16" s="37"/>
      <c r="B16" s="38"/>
      <c r="C16" s="37"/>
      <c r="D16" s="39"/>
      <c r="E16" s="39"/>
      <c r="F16" s="39"/>
      <c r="G16" s="37"/>
      <c r="H16" s="37"/>
      <c r="I16" s="13"/>
      <c r="P16" s="4"/>
    </row>
    <row r="17" ht="18.0" customHeight="1">
      <c r="A17" s="40" t="s">
        <v>16</v>
      </c>
      <c r="B17" s="41"/>
      <c r="C17" s="41"/>
      <c r="D17" s="41"/>
      <c r="E17" s="42"/>
      <c r="F17" s="43" t="s">
        <v>12</v>
      </c>
      <c r="G17" s="44" t="s">
        <v>14</v>
      </c>
      <c r="H17" s="23" t="s">
        <v>15</v>
      </c>
      <c r="I17" s="13"/>
      <c r="J17" s="21"/>
      <c r="K17" s="21"/>
      <c r="L17" s="21"/>
      <c r="M17" s="21"/>
      <c r="N17" s="21"/>
      <c r="O17" s="21"/>
      <c r="P17" s="4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ht="18.0" customHeight="1">
      <c r="A18" s="45"/>
      <c r="B18" s="41"/>
      <c r="C18" s="41"/>
      <c r="D18" s="41"/>
      <c r="E18" s="42"/>
      <c r="F18" s="46"/>
      <c r="G18" s="47"/>
      <c r="H18" s="22">
        <f t="shared" ref="H18:H23" si="2">G18*F18</f>
        <v>0</v>
      </c>
      <c r="I18" s="13"/>
      <c r="J18" s="21"/>
      <c r="K18" s="21"/>
      <c r="L18" s="21"/>
      <c r="M18" s="21"/>
      <c r="N18" s="21"/>
      <c r="O18" s="21"/>
      <c r="P18" s="4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ht="18.0" customHeight="1">
      <c r="A19" s="48" t="s">
        <v>17</v>
      </c>
      <c r="B19" s="41"/>
      <c r="C19" s="41"/>
      <c r="D19" s="41"/>
      <c r="E19" s="42"/>
      <c r="F19" s="24">
        <v>0.0</v>
      </c>
      <c r="G19" s="44"/>
      <c r="H19" s="23">
        <f t="shared" si="2"/>
        <v>0</v>
      </c>
      <c r="I19" s="13"/>
      <c r="J19" s="21"/>
      <c r="K19" s="21"/>
      <c r="L19" s="21"/>
      <c r="M19" s="21"/>
      <c r="N19" s="21"/>
      <c r="O19" s="21"/>
      <c r="P19" s="4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ht="18.0" customHeight="1">
      <c r="A20" s="49" t="s">
        <v>18</v>
      </c>
      <c r="B20" s="41"/>
      <c r="C20" s="41"/>
      <c r="D20" s="41"/>
      <c r="E20" s="42"/>
      <c r="F20" s="46">
        <v>11.0</v>
      </c>
      <c r="G20" s="47"/>
      <c r="H20" s="22">
        <f t="shared" si="2"/>
        <v>0</v>
      </c>
      <c r="I20" s="13"/>
      <c r="J20" s="21"/>
      <c r="K20" s="21"/>
      <c r="L20" s="21"/>
      <c r="M20" s="21"/>
      <c r="N20" s="21"/>
      <c r="O20" s="21"/>
      <c r="P20" s="4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ht="18.0" customHeight="1">
      <c r="A21" s="48" t="s">
        <v>19</v>
      </c>
      <c r="B21" s="41"/>
      <c r="C21" s="41"/>
      <c r="D21" s="41"/>
      <c r="E21" s="42"/>
      <c r="F21" s="24">
        <v>0.0</v>
      </c>
      <c r="G21" s="44"/>
      <c r="H21" s="23">
        <f t="shared" si="2"/>
        <v>0</v>
      </c>
      <c r="I21" s="13"/>
      <c r="J21" s="21"/>
      <c r="K21" s="21"/>
      <c r="L21" s="21"/>
      <c r="M21" s="21"/>
      <c r="N21" s="21"/>
      <c r="O21" s="21"/>
      <c r="P21" s="4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ht="18.0" customHeight="1">
      <c r="A22" s="49"/>
      <c r="B22" s="41"/>
      <c r="C22" s="41"/>
      <c r="D22" s="41"/>
      <c r="E22" s="42"/>
      <c r="F22" s="46"/>
      <c r="G22" s="47"/>
      <c r="H22" s="22">
        <f t="shared" si="2"/>
        <v>0</v>
      </c>
      <c r="I22" s="13"/>
      <c r="J22" s="21"/>
      <c r="K22" s="21"/>
      <c r="L22" s="21"/>
      <c r="M22" s="21"/>
      <c r="N22" s="21"/>
      <c r="O22" s="21"/>
      <c r="P22" s="4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ht="18.0" customHeight="1">
      <c r="A23" s="48" t="s">
        <v>20</v>
      </c>
      <c r="B23" s="41"/>
      <c r="C23" s="41"/>
      <c r="D23" s="41"/>
      <c r="E23" s="42"/>
      <c r="F23" s="24">
        <v>5.0</v>
      </c>
      <c r="G23" s="44"/>
      <c r="H23" s="23">
        <f t="shared" si="2"/>
        <v>0</v>
      </c>
      <c r="I23" s="13"/>
      <c r="J23" s="21"/>
      <c r="K23" s="21"/>
      <c r="L23" s="21"/>
      <c r="M23" s="21"/>
      <c r="N23" s="21"/>
      <c r="O23" s="21"/>
      <c r="P23" s="4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18.75" customHeight="1">
      <c r="F24" s="39"/>
      <c r="G24" s="39"/>
      <c r="I24" s="13"/>
      <c r="P24" s="4"/>
    </row>
    <row r="25" ht="18.0" customHeight="1">
      <c r="A25" s="50" t="s">
        <v>21</v>
      </c>
      <c r="B25" s="41"/>
      <c r="C25" s="41"/>
      <c r="D25" s="41"/>
      <c r="E25" s="42"/>
      <c r="F25" s="51" t="s">
        <v>22</v>
      </c>
      <c r="G25" s="52" t="s">
        <v>14</v>
      </c>
      <c r="H25" s="23" t="s">
        <v>15</v>
      </c>
      <c r="I25" s="13"/>
      <c r="P25" s="4"/>
    </row>
    <row r="26" ht="24.0" customHeight="1">
      <c r="A26" s="53" t="s">
        <v>23</v>
      </c>
      <c r="B26" s="41"/>
      <c r="C26" s="41"/>
      <c r="D26" s="41"/>
      <c r="E26" s="42"/>
      <c r="F26" s="52"/>
      <c r="G26" s="54"/>
      <c r="H26" s="22" t="str">
        <f>G26</f>
        <v/>
      </c>
      <c r="I26" s="13"/>
      <c r="P26" s="4"/>
    </row>
    <row r="27" ht="18.75" customHeight="1">
      <c r="A27" s="55" t="s">
        <v>24</v>
      </c>
      <c r="B27" s="41"/>
      <c r="C27" s="41"/>
      <c r="D27" s="41"/>
      <c r="E27" s="42"/>
      <c r="F27" s="56"/>
      <c r="G27" s="41"/>
      <c r="H27" s="42"/>
      <c r="I27" s="13"/>
    </row>
    <row r="28" ht="18.75" customHeight="1">
      <c r="A28" s="57" t="s">
        <v>25</v>
      </c>
      <c r="B28" s="41"/>
      <c r="C28" s="41"/>
      <c r="D28" s="41"/>
      <c r="E28" s="42"/>
      <c r="F28" s="58"/>
      <c r="G28" s="41"/>
      <c r="H28" s="42"/>
      <c r="I28" s="13"/>
      <c r="P28" s="4"/>
    </row>
    <row r="29" ht="18.75" customHeight="1">
      <c r="A29" s="55" t="s">
        <v>26</v>
      </c>
      <c r="B29" s="41"/>
      <c r="C29" s="41"/>
      <c r="D29" s="41"/>
      <c r="E29" s="42"/>
      <c r="F29" s="56"/>
      <c r="G29" s="41"/>
      <c r="H29" s="42"/>
      <c r="I29" s="13"/>
      <c r="P29" s="4"/>
    </row>
    <row r="30" ht="18.75" customHeight="1">
      <c r="A30" s="57" t="s">
        <v>27</v>
      </c>
      <c r="B30" s="41"/>
      <c r="C30" s="41"/>
      <c r="D30" s="41"/>
      <c r="E30" s="42"/>
      <c r="F30" s="58"/>
      <c r="G30" s="41"/>
      <c r="H30" s="42"/>
      <c r="I30" s="13"/>
      <c r="P30" s="4"/>
    </row>
    <row r="31" ht="18.75" customHeight="1">
      <c r="E31" s="59"/>
      <c r="F31" s="39"/>
      <c r="G31" s="39"/>
      <c r="I31" s="13"/>
      <c r="P31" s="4"/>
    </row>
    <row r="32">
      <c r="A32" s="40" t="s">
        <v>28</v>
      </c>
      <c r="B32" s="41"/>
      <c r="C32" s="41"/>
      <c r="D32" s="41"/>
      <c r="E32" s="42"/>
      <c r="F32" s="23"/>
      <c r="G32" s="22" t="s">
        <v>14</v>
      </c>
      <c r="H32" s="23" t="s">
        <v>15</v>
      </c>
      <c r="I32" s="13"/>
      <c r="P32" s="4"/>
    </row>
    <row r="33">
      <c r="A33" s="60" t="s">
        <v>29</v>
      </c>
      <c r="B33" s="41"/>
      <c r="C33" s="41"/>
      <c r="D33" s="41"/>
      <c r="E33" s="42"/>
      <c r="F33" s="22"/>
      <c r="G33" s="30"/>
      <c r="H33" s="34">
        <f>IF(G33&gt;0,MAX(G33*assembly,assembly_min),0)</f>
        <v>0</v>
      </c>
      <c r="I33" s="13"/>
      <c r="P33" s="4"/>
    </row>
    <row r="34" ht="18.75" customHeight="1">
      <c r="E34" s="59"/>
      <c r="F34" s="59"/>
      <c r="G34" s="59"/>
      <c r="I34" s="13"/>
      <c r="P34" s="4"/>
    </row>
    <row r="35" ht="18.0" customHeight="1">
      <c r="A35" s="40" t="s">
        <v>30</v>
      </c>
      <c r="B35" s="41"/>
      <c r="C35" s="41"/>
      <c r="D35" s="41"/>
      <c r="E35" s="42"/>
      <c r="F35" s="61" t="s">
        <v>12</v>
      </c>
      <c r="G35" s="62" t="s">
        <v>14</v>
      </c>
      <c r="H35" s="23" t="s">
        <v>15</v>
      </c>
      <c r="I35" s="13"/>
      <c r="P35" s="4"/>
    </row>
    <row r="36" ht="18.0" customHeight="1">
      <c r="A36" s="49" t="s">
        <v>31</v>
      </c>
      <c r="B36" s="41"/>
      <c r="C36" s="41"/>
      <c r="D36" s="41"/>
      <c r="E36" s="42"/>
      <c r="F36" s="22">
        <v>12.0</v>
      </c>
      <c r="G36" s="34"/>
      <c r="H36" s="22">
        <f t="shared" ref="H36:H45" si="3">F36*G36</f>
        <v>0</v>
      </c>
      <c r="I36" s="13"/>
      <c r="P36" s="4"/>
    </row>
    <row r="37" ht="18.0" customHeight="1">
      <c r="A37" s="48" t="s">
        <v>32</v>
      </c>
      <c r="B37" s="41"/>
      <c r="C37" s="41"/>
      <c r="D37" s="41"/>
      <c r="E37" s="42"/>
      <c r="F37" s="23">
        <v>15.0</v>
      </c>
      <c r="G37" s="22"/>
      <c r="H37" s="23">
        <f t="shared" si="3"/>
        <v>0</v>
      </c>
      <c r="I37" s="13"/>
      <c r="P37" s="4"/>
    </row>
    <row r="38" ht="18.0" customHeight="1">
      <c r="A38" s="49" t="s">
        <v>33</v>
      </c>
      <c r="B38" s="41"/>
      <c r="C38" s="41"/>
      <c r="D38" s="41"/>
      <c r="E38" s="42"/>
      <c r="F38" s="22">
        <v>15.0</v>
      </c>
      <c r="G38" s="34"/>
      <c r="H38" s="22">
        <f t="shared" si="3"/>
        <v>0</v>
      </c>
      <c r="I38" s="13"/>
      <c r="P38" s="4"/>
    </row>
    <row r="39" ht="18.0" customHeight="1">
      <c r="A39" s="48" t="s">
        <v>34</v>
      </c>
      <c r="B39" s="41"/>
      <c r="C39" s="41"/>
      <c r="D39" s="41"/>
      <c r="E39" s="42"/>
      <c r="F39" s="23"/>
      <c r="G39" s="22"/>
      <c r="H39" s="23">
        <f t="shared" si="3"/>
        <v>0</v>
      </c>
      <c r="I39" s="13"/>
      <c r="P39" s="4"/>
    </row>
    <row r="40" ht="18.0" customHeight="1">
      <c r="A40" s="49" t="s">
        <v>35</v>
      </c>
      <c r="B40" s="41"/>
      <c r="C40" s="41"/>
      <c r="D40" s="41"/>
      <c r="E40" s="42"/>
      <c r="F40" s="22">
        <v>10.0</v>
      </c>
      <c r="G40" s="34"/>
      <c r="H40" s="22">
        <f t="shared" si="3"/>
        <v>0</v>
      </c>
      <c r="I40" s="13"/>
      <c r="P40" s="4"/>
    </row>
    <row r="41" ht="18.0" customHeight="1">
      <c r="A41" s="48" t="s">
        <v>36</v>
      </c>
      <c r="B41" s="41"/>
      <c r="C41" s="41"/>
      <c r="D41" s="41"/>
      <c r="E41" s="42"/>
      <c r="F41" s="23"/>
      <c r="G41" s="22"/>
      <c r="H41" s="23">
        <f t="shared" si="3"/>
        <v>0</v>
      </c>
      <c r="I41" s="13"/>
    </row>
    <row r="42" ht="18.0" customHeight="1">
      <c r="A42" s="63" t="s">
        <v>37</v>
      </c>
      <c r="B42" s="41"/>
      <c r="C42" s="41"/>
      <c r="D42" s="41"/>
      <c r="E42" s="42"/>
      <c r="F42" s="22"/>
      <c r="G42" s="34"/>
      <c r="H42" s="22">
        <f t="shared" si="3"/>
        <v>0</v>
      </c>
      <c r="I42" s="13"/>
    </row>
    <row r="43" ht="18.0" customHeight="1">
      <c r="A43" s="48" t="s">
        <v>38</v>
      </c>
      <c r="B43" s="41"/>
      <c r="C43" s="41"/>
      <c r="D43" s="41"/>
      <c r="E43" s="42"/>
      <c r="F43" s="23"/>
      <c r="G43" s="22"/>
      <c r="H43" s="23">
        <f t="shared" si="3"/>
        <v>0</v>
      </c>
      <c r="I43" s="13"/>
    </row>
    <row r="44" ht="18.75" customHeight="1">
      <c r="A44" s="63" t="s">
        <v>39</v>
      </c>
      <c r="B44" s="41"/>
      <c r="C44" s="41"/>
      <c r="D44" s="41"/>
      <c r="E44" s="42"/>
      <c r="F44" s="22">
        <v>40.0</v>
      </c>
      <c r="G44" s="34"/>
      <c r="H44" s="22">
        <f t="shared" si="3"/>
        <v>0</v>
      </c>
      <c r="I44" s="1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8.75" customHeight="1">
      <c r="A45" s="48"/>
      <c r="B45" s="41"/>
      <c r="C45" s="41"/>
      <c r="D45" s="41"/>
      <c r="E45" s="42"/>
      <c r="F45" s="23"/>
      <c r="G45" s="22"/>
      <c r="H45" s="23">
        <f t="shared" si="3"/>
        <v>0</v>
      </c>
      <c r="I45" s="1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8.75" customHeight="1">
      <c r="A46" s="64"/>
      <c r="B46" s="41"/>
      <c r="C46" s="41"/>
      <c r="D46" s="41"/>
      <c r="E46" s="42"/>
      <c r="F46" s="65"/>
      <c r="G46" s="65"/>
      <c r="H46" s="66"/>
      <c r="I46" s="6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8.0" customHeight="1">
      <c r="A47" s="40" t="s">
        <v>40</v>
      </c>
      <c r="B47" s="41"/>
      <c r="C47" s="41"/>
      <c r="D47" s="41"/>
      <c r="E47" s="42"/>
      <c r="F47" s="23" t="s">
        <v>12</v>
      </c>
      <c r="G47" s="22" t="s">
        <v>14</v>
      </c>
      <c r="H47" s="23" t="s">
        <v>15</v>
      </c>
      <c r="I47" s="8"/>
    </row>
    <row r="48" ht="79.5" customHeight="1">
      <c r="A48" s="68" t="s">
        <v>41</v>
      </c>
      <c r="B48" s="69"/>
      <c r="C48" s="69"/>
      <c r="D48" s="69"/>
      <c r="E48" s="69"/>
      <c r="F48" s="70">
        <v>30.0</v>
      </c>
      <c r="G48" s="71"/>
      <c r="H48" s="62">
        <f t="shared" ref="H48:H56" si="4">F48*G48</f>
        <v>0</v>
      </c>
      <c r="I48" s="13"/>
    </row>
    <row r="49" ht="49.5" customHeight="1">
      <c r="A49" s="72" t="s">
        <v>42</v>
      </c>
      <c r="B49" s="73"/>
      <c r="C49" s="73"/>
      <c r="D49" s="73"/>
      <c r="E49" s="74"/>
      <c r="F49" s="75">
        <v>10.0</v>
      </c>
      <c r="G49" s="76"/>
      <c r="H49" s="61">
        <f t="shared" si="4"/>
        <v>0</v>
      </c>
      <c r="I49" s="13"/>
      <c r="J49" s="77"/>
    </row>
    <row r="50" ht="69.75" customHeight="1">
      <c r="A50" s="68" t="s">
        <v>43</v>
      </c>
      <c r="B50" s="69"/>
      <c r="C50" s="69"/>
      <c r="D50" s="69"/>
      <c r="E50" s="69"/>
      <c r="F50" s="70">
        <f>6*0.7</f>
        <v>4.2</v>
      </c>
      <c r="G50" s="71"/>
      <c r="H50" s="62">
        <f t="shared" si="4"/>
        <v>0</v>
      </c>
      <c r="I50" s="13"/>
      <c r="J50" s="77"/>
      <c r="O50" s="77"/>
    </row>
    <row r="51" ht="45.0" customHeight="1">
      <c r="A51" s="72" t="s">
        <v>44</v>
      </c>
      <c r="B51" s="73"/>
      <c r="C51" s="73"/>
      <c r="D51" s="73"/>
      <c r="E51" s="74"/>
      <c r="F51" s="75">
        <v>100.0</v>
      </c>
      <c r="G51" s="76"/>
      <c r="H51" s="61">
        <f t="shared" si="4"/>
        <v>0</v>
      </c>
      <c r="I51" s="13"/>
    </row>
    <row r="52" ht="34.5" customHeight="1">
      <c r="A52" s="68" t="s">
        <v>45</v>
      </c>
      <c r="B52" s="69"/>
      <c r="C52" s="69"/>
      <c r="D52" s="69"/>
      <c r="E52" s="69"/>
      <c r="F52" s="70">
        <v>12.0</v>
      </c>
      <c r="G52" s="71"/>
      <c r="H52" s="62">
        <f t="shared" si="4"/>
        <v>0</v>
      </c>
      <c r="I52" s="13"/>
    </row>
    <row r="53" ht="49.5" customHeight="1">
      <c r="A53" s="72" t="s">
        <v>46</v>
      </c>
      <c r="B53" s="73"/>
      <c r="C53" s="73"/>
      <c r="D53" s="73"/>
      <c r="E53" s="74"/>
      <c r="F53" s="75">
        <v>20.0</v>
      </c>
      <c r="G53" s="76"/>
      <c r="H53" s="61">
        <f t="shared" si="4"/>
        <v>0</v>
      </c>
      <c r="I53" s="13"/>
    </row>
    <row r="54" ht="64.5" customHeight="1">
      <c r="A54" s="68" t="s">
        <v>47</v>
      </c>
      <c r="B54" s="69"/>
      <c r="C54" s="69"/>
      <c r="D54" s="69"/>
      <c r="E54" s="69"/>
      <c r="F54" s="70">
        <v>25.0</v>
      </c>
      <c r="G54" s="71"/>
      <c r="H54" s="62">
        <f t="shared" si="4"/>
        <v>0</v>
      </c>
      <c r="I54" s="13"/>
    </row>
    <row r="55" ht="75.0" customHeight="1">
      <c r="A55" s="72" t="s">
        <v>48</v>
      </c>
      <c r="B55" s="73"/>
      <c r="C55" s="73"/>
      <c r="D55" s="73"/>
      <c r="E55" s="74"/>
      <c r="F55" s="75">
        <v>15.0</v>
      </c>
      <c r="G55" s="76"/>
      <c r="H55" s="61">
        <f t="shared" si="4"/>
        <v>0</v>
      </c>
      <c r="I55" s="13"/>
    </row>
    <row r="56" ht="15.75" customHeight="1">
      <c r="A56" s="45"/>
      <c r="B56" s="41"/>
      <c r="C56" s="41"/>
      <c r="D56" s="41"/>
      <c r="E56" s="42"/>
      <c r="F56" s="22"/>
      <c r="G56" s="34"/>
      <c r="H56" s="23">
        <f t="shared" si="4"/>
        <v>0</v>
      </c>
      <c r="I56" s="13"/>
    </row>
    <row r="57" ht="15.75" customHeight="1">
      <c r="A57" s="78"/>
      <c r="B57" s="4"/>
      <c r="C57" s="4"/>
      <c r="D57" s="4"/>
      <c r="E57" s="4"/>
      <c r="F57" s="79"/>
      <c r="G57" s="79"/>
      <c r="H57" s="35"/>
      <c r="I57" s="13"/>
    </row>
    <row r="58" ht="18.0" customHeight="1">
      <c r="A58" s="40" t="s">
        <v>49</v>
      </c>
      <c r="B58" s="41"/>
      <c r="C58" s="41"/>
      <c r="D58" s="41"/>
      <c r="E58" s="42"/>
      <c r="F58" s="23" t="s">
        <v>28</v>
      </c>
      <c r="G58" s="22" t="s">
        <v>14</v>
      </c>
      <c r="H58" s="23" t="s">
        <v>15</v>
      </c>
      <c r="I58" s="13"/>
    </row>
    <row r="59" ht="15.75" customHeight="1">
      <c r="A59" s="49" t="s">
        <v>50</v>
      </c>
      <c r="B59" s="41"/>
      <c r="C59" s="41"/>
      <c r="D59" s="41"/>
      <c r="E59" s="41"/>
      <c r="F59" s="80" t="b">
        <f t="shared" ref="F59:F78" si="5">TRUE</f>
        <v>1</v>
      </c>
      <c r="G59" s="81"/>
      <c r="H59" s="22">
        <f>G59*(103+IF(F59,25,0))</f>
        <v>0</v>
      </c>
      <c r="I59" s="13"/>
    </row>
    <row r="60" ht="15.75" customHeight="1">
      <c r="A60" s="48" t="s">
        <v>51</v>
      </c>
      <c r="B60" s="41"/>
      <c r="C60" s="41"/>
      <c r="D60" s="41"/>
      <c r="E60" s="82"/>
      <c r="F60" s="83" t="b">
        <f t="shared" si="5"/>
        <v>1</v>
      </c>
      <c r="G60" s="84"/>
      <c r="H60" s="23">
        <f>G60*(150+IF(F60,25,0))</f>
        <v>0</v>
      </c>
      <c r="I60" s="13"/>
    </row>
    <row r="61" ht="15.0" customHeight="1">
      <c r="A61" s="49" t="s">
        <v>52</v>
      </c>
      <c r="B61" s="41"/>
      <c r="C61" s="41"/>
      <c r="D61" s="41"/>
      <c r="E61" s="41"/>
      <c r="F61" s="80" t="b">
        <f t="shared" si="5"/>
        <v>1</v>
      </c>
      <c r="G61" s="81"/>
      <c r="H61" s="22">
        <f>G61*(250+IF(F61,25,0))</f>
        <v>0</v>
      </c>
      <c r="I61" s="13"/>
    </row>
    <row r="62" ht="30.0" customHeight="1">
      <c r="A62" s="72" t="s">
        <v>53</v>
      </c>
      <c r="B62" s="73"/>
      <c r="C62" s="73"/>
      <c r="D62" s="73"/>
      <c r="E62" s="74"/>
      <c r="F62" s="75" t="b">
        <f t="shared" si="5"/>
        <v>1</v>
      </c>
      <c r="G62" s="76"/>
      <c r="H62" s="61">
        <f>G62*(150+IF(F62,25,0))</f>
        <v>0</v>
      </c>
      <c r="I62" s="13"/>
    </row>
    <row r="63">
      <c r="A63" s="49" t="s">
        <v>54</v>
      </c>
      <c r="B63" s="41"/>
      <c r="C63" s="41"/>
      <c r="D63" s="41"/>
      <c r="E63" s="41"/>
      <c r="F63" s="80" t="b">
        <f t="shared" si="5"/>
        <v>1</v>
      </c>
      <c r="G63" s="81"/>
      <c r="H63" s="22">
        <f>G63*(130+IF(F63,25,0))</f>
        <v>0</v>
      </c>
      <c r="I63" s="13"/>
    </row>
    <row r="64" ht="15.75" customHeight="1">
      <c r="A64" s="48" t="s">
        <v>55</v>
      </c>
      <c r="B64" s="41"/>
      <c r="C64" s="41"/>
      <c r="D64" s="41"/>
      <c r="E64" s="82"/>
      <c r="F64" s="83" t="b">
        <f t="shared" si="5"/>
        <v>1</v>
      </c>
      <c r="G64" s="84"/>
      <c r="H64" s="23">
        <f>G64*(265+IF(F64,25,0))</f>
        <v>0</v>
      </c>
      <c r="I64" s="13"/>
    </row>
    <row r="65" ht="30.0" customHeight="1">
      <c r="A65" s="85" t="s">
        <v>56</v>
      </c>
      <c r="B65" s="41"/>
      <c r="C65" s="41"/>
      <c r="D65" s="41"/>
      <c r="E65" s="41"/>
      <c r="F65" s="80" t="b">
        <f t="shared" si="5"/>
        <v>1</v>
      </c>
      <c r="G65" s="81"/>
      <c r="H65" s="22">
        <f>G65*(285+IF(F64,25,0))</f>
        <v>0</v>
      </c>
      <c r="I65" s="13"/>
    </row>
    <row r="66" ht="15.75" customHeight="1">
      <c r="A66" s="48" t="s">
        <v>57</v>
      </c>
      <c r="B66" s="41"/>
      <c r="C66" s="41"/>
      <c r="D66" s="41"/>
      <c r="E66" s="82"/>
      <c r="F66" s="83" t="b">
        <f t="shared" si="5"/>
        <v>1</v>
      </c>
      <c r="G66" s="84"/>
      <c r="H66" s="23">
        <f>G66*(250+IF(F66,50,0))</f>
        <v>0</v>
      </c>
      <c r="I66" s="13"/>
    </row>
    <row r="67" ht="15.0" customHeight="1">
      <c r="A67" s="49" t="s">
        <v>58</v>
      </c>
      <c r="B67" s="41"/>
      <c r="C67" s="41"/>
      <c r="D67" s="41"/>
      <c r="E67" s="41"/>
      <c r="F67" s="80" t="b">
        <f t="shared" si="5"/>
        <v>1</v>
      </c>
      <c r="G67" s="81"/>
      <c r="H67" s="22">
        <f>G67*(350+IF(F67,50,0))</f>
        <v>0</v>
      </c>
      <c r="I67" s="13"/>
    </row>
    <row r="68" ht="30.0" customHeight="1">
      <c r="A68" s="72" t="s">
        <v>59</v>
      </c>
      <c r="B68" s="73"/>
      <c r="C68" s="73"/>
      <c r="D68" s="73"/>
      <c r="E68" s="74"/>
      <c r="F68" s="75" t="b">
        <f t="shared" si="5"/>
        <v>1</v>
      </c>
      <c r="G68" s="76"/>
      <c r="H68" s="61">
        <f>G68*(180+IF(F68,25,0))</f>
        <v>0</v>
      </c>
      <c r="I68" s="13"/>
    </row>
    <row r="69" ht="15.75" customHeight="1">
      <c r="A69" s="49" t="s">
        <v>60</v>
      </c>
      <c r="B69" s="41"/>
      <c r="C69" s="41"/>
      <c r="D69" s="41"/>
      <c r="E69" s="41"/>
      <c r="F69" s="80" t="b">
        <f t="shared" si="5"/>
        <v>1</v>
      </c>
      <c r="G69" s="81"/>
      <c r="H69" s="22">
        <f>G69*(150+IF(F69,25,0))</f>
        <v>0</v>
      </c>
      <c r="I69" s="13"/>
    </row>
    <row r="70" ht="15.75" customHeight="1">
      <c r="A70" s="72" t="s">
        <v>61</v>
      </c>
      <c r="B70" s="73"/>
      <c r="C70" s="73"/>
      <c r="D70" s="73"/>
      <c r="E70" s="74"/>
      <c r="F70" s="75" t="b">
        <f t="shared" si="5"/>
        <v>1</v>
      </c>
      <c r="G70" s="76"/>
      <c r="H70" s="61">
        <f>G70*(290+IF(F70,25,0))</f>
        <v>0</v>
      </c>
      <c r="I70" s="13"/>
    </row>
    <row r="71" ht="15.75" customHeight="1">
      <c r="A71" s="49" t="s">
        <v>62</v>
      </c>
      <c r="B71" s="41"/>
      <c r="C71" s="41"/>
      <c r="D71" s="41"/>
      <c r="E71" s="41"/>
      <c r="F71" s="80" t="b">
        <f t="shared" si="5"/>
        <v>1</v>
      </c>
      <c r="G71" s="81"/>
      <c r="H71" s="22">
        <f>G71*(57+IF(F71,25,0))</f>
        <v>0</v>
      </c>
      <c r="I71" s="13"/>
    </row>
    <row r="72" ht="15.75" customHeight="1">
      <c r="A72" s="72" t="s">
        <v>63</v>
      </c>
      <c r="B72" s="73"/>
      <c r="C72" s="73"/>
      <c r="D72" s="73"/>
      <c r="E72" s="74"/>
      <c r="F72" s="75" t="b">
        <f t="shared" si="5"/>
        <v>1</v>
      </c>
      <c r="G72" s="76"/>
      <c r="H72" s="61">
        <f>G72*(0+IF(F72,25,0))</f>
        <v>0</v>
      </c>
      <c r="I72" s="13"/>
    </row>
    <row r="73" ht="15.75" customHeight="1">
      <c r="A73" s="49" t="s">
        <v>64</v>
      </c>
      <c r="B73" s="41"/>
      <c r="C73" s="41"/>
      <c r="D73" s="41"/>
      <c r="E73" s="41"/>
      <c r="F73" s="80" t="b">
        <f t="shared" si="5"/>
        <v>1</v>
      </c>
      <c r="G73" s="81"/>
      <c r="H73" s="22">
        <f>G73*(87+IF(F73,25,0))</f>
        <v>0</v>
      </c>
      <c r="I73" s="13"/>
    </row>
    <row r="74" ht="15.75" customHeight="1">
      <c r="A74" s="72" t="s">
        <v>65</v>
      </c>
      <c r="B74" s="73"/>
      <c r="C74" s="73"/>
      <c r="D74" s="73"/>
      <c r="E74" s="74"/>
      <c r="F74" s="75" t="b">
        <f t="shared" si="5"/>
        <v>1</v>
      </c>
      <c r="G74" s="76"/>
      <c r="H74" s="61">
        <f>G74*(220+IF(F74,50,0))</f>
        <v>0</v>
      </c>
      <c r="I74" s="13"/>
    </row>
    <row r="75" ht="15.75" customHeight="1">
      <c r="A75" s="49" t="s">
        <v>66</v>
      </c>
      <c r="B75" s="41"/>
      <c r="C75" s="41"/>
      <c r="D75" s="41"/>
      <c r="E75" s="41"/>
      <c r="F75" s="80" t="b">
        <f t="shared" si="5"/>
        <v>1</v>
      </c>
      <c r="G75" s="81"/>
      <c r="H75" s="22">
        <f>G75*(490+IF(F75,50,0))</f>
        <v>0</v>
      </c>
      <c r="I75" s="13"/>
    </row>
    <row r="76" ht="15.75" customHeight="1">
      <c r="A76" s="72" t="s">
        <v>67</v>
      </c>
      <c r="B76" s="73"/>
      <c r="C76" s="73"/>
      <c r="D76" s="73"/>
      <c r="E76" s="74"/>
      <c r="F76" s="75" t="b">
        <f t="shared" si="5"/>
        <v>1</v>
      </c>
      <c r="G76" s="76"/>
      <c r="H76" s="61">
        <f>G76*(210+IF(F76,25,0))</f>
        <v>0</v>
      </c>
      <c r="I76" s="13"/>
    </row>
    <row r="77" ht="15.75" customHeight="1">
      <c r="A77" s="49" t="s">
        <v>68</v>
      </c>
      <c r="B77" s="41"/>
      <c r="C77" s="41"/>
      <c r="D77" s="41"/>
      <c r="E77" s="41"/>
      <c r="F77" s="80" t="b">
        <f t="shared" si="5"/>
        <v>1</v>
      </c>
      <c r="G77" s="81"/>
      <c r="H77" s="22">
        <f>G77*(190+IF(F77,25,0))</f>
        <v>0</v>
      </c>
      <c r="I77" s="13"/>
    </row>
    <row r="78" ht="15.75" customHeight="1">
      <c r="A78" s="86" t="s">
        <v>69</v>
      </c>
      <c r="B78" s="41"/>
      <c r="C78" s="41"/>
      <c r="D78" s="41"/>
      <c r="E78" s="42"/>
      <c r="F78" s="87" t="b">
        <f t="shared" si="5"/>
        <v>1</v>
      </c>
      <c r="G78" s="88"/>
      <c r="H78" s="23">
        <f>G78*(180+IF(F78,25,0))</f>
        <v>0</v>
      </c>
      <c r="I78" s="13"/>
    </row>
    <row r="79" ht="15.75" customHeight="1">
      <c r="A79" s="49"/>
      <c r="B79" s="41"/>
      <c r="C79" s="41"/>
      <c r="D79" s="41"/>
      <c r="E79" s="41"/>
      <c r="F79" s="80"/>
      <c r="G79" s="81"/>
      <c r="H79" s="22">
        <f>G79*(190+IF(F79,25,0))</f>
        <v>0</v>
      </c>
      <c r="I79" s="13"/>
    </row>
    <row r="80" ht="15.75" customHeight="1">
      <c r="F80" s="59"/>
      <c r="G80" s="59"/>
      <c r="H80" s="59"/>
      <c r="I80" s="13"/>
    </row>
    <row r="81" ht="24.75" customHeight="1">
      <c r="A81" s="89" t="s">
        <v>70</v>
      </c>
      <c r="B81" s="41"/>
      <c r="C81" s="41"/>
      <c r="D81" s="41"/>
      <c r="E81" s="41"/>
      <c r="F81" s="41"/>
      <c r="G81" s="42"/>
      <c r="H81" s="90">
        <f>SUM(H1:H79)</f>
        <v>0</v>
      </c>
      <c r="I81" s="13"/>
    </row>
    <row r="82" ht="24.75" customHeight="1">
      <c r="A82" s="89" t="s">
        <v>71</v>
      </c>
      <c r="B82" s="41"/>
      <c r="C82" s="41"/>
      <c r="D82" s="41"/>
      <c r="E82" s="41"/>
      <c r="F82" s="41"/>
      <c r="G82" s="42"/>
      <c r="H82" s="91">
        <f>(H81*0.23)+H81</f>
        <v>0</v>
      </c>
      <c r="I82" s="67"/>
    </row>
    <row r="83" ht="15.75" customHeight="1"/>
    <row r="84" ht="15.75" customHeight="1"/>
    <row r="85" ht="15.75" customHeight="1">
      <c r="O85" s="92"/>
    </row>
    <row r="86" ht="15.75" customHeight="1">
      <c r="O86" s="92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7">
    <mergeCell ref="F4:H4"/>
    <mergeCell ref="F5:H5"/>
    <mergeCell ref="P13:Y13"/>
    <mergeCell ref="Q15:U15"/>
    <mergeCell ref="A17:E17"/>
    <mergeCell ref="A18:E18"/>
    <mergeCell ref="A19:E19"/>
    <mergeCell ref="A20:E20"/>
    <mergeCell ref="A21:E21"/>
    <mergeCell ref="A22:E22"/>
    <mergeCell ref="A23:E23"/>
    <mergeCell ref="A25:E25"/>
    <mergeCell ref="A26:E26"/>
    <mergeCell ref="A27:E27"/>
    <mergeCell ref="A29:E29"/>
    <mergeCell ref="F29:H29"/>
    <mergeCell ref="A30:E30"/>
    <mergeCell ref="F30:H30"/>
    <mergeCell ref="A32:E32"/>
    <mergeCell ref="A33:E33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F27:H27"/>
    <mergeCell ref="A28:E28"/>
    <mergeCell ref="F28:H28"/>
    <mergeCell ref="A45:E45"/>
    <mergeCell ref="A46:E46"/>
    <mergeCell ref="A47:E47"/>
    <mergeCell ref="A49:E49"/>
    <mergeCell ref="A50:E50"/>
    <mergeCell ref="A51:E51"/>
    <mergeCell ref="A52:E52"/>
    <mergeCell ref="A53:E53"/>
    <mergeCell ref="A54:E54"/>
    <mergeCell ref="A55:E55"/>
    <mergeCell ref="A56:E56"/>
    <mergeCell ref="A58:E58"/>
    <mergeCell ref="A59:E59"/>
    <mergeCell ref="A5:D5"/>
    <mergeCell ref="A48:E48"/>
    <mergeCell ref="A74:E74"/>
    <mergeCell ref="A75:E75"/>
    <mergeCell ref="A76:E76"/>
    <mergeCell ref="A77:E77"/>
    <mergeCell ref="A78:E78"/>
    <mergeCell ref="A79:E79"/>
    <mergeCell ref="A81:G81"/>
    <mergeCell ref="A82:G82"/>
    <mergeCell ref="A1:D2"/>
    <mergeCell ref="F1:H1"/>
    <mergeCell ref="I1:I46"/>
    <mergeCell ref="F2:H2"/>
    <mergeCell ref="A3:D4"/>
    <mergeCell ref="F3:H3"/>
    <mergeCell ref="I47:I82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5.13"/>
    <col customWidth="1" min="4" max="4" width="14.0"/>
    <col customWidth="1" min="5" max="5" width="4.0"/>
  </cols>
  <sheetData>
    <row r="1">
      <c r="A1" s="77" t="s">
        <v>72</v>
      </c>
      <c r="B1" s="77" t="s">
        <v>73</v>
      </c>
      <c r="D1" s="93" t="s">
        <v>74</v>
      </c>
      <c r="E1" s="93">
        <v>35.0</v>
      </c>
    </row>
    <row r="2">
      <c r="A2" s="94" t="s">
        <v>75</v>
      </c>
      <c r="B2" s="95">
        <v>169.0</v>
      </c>
      <c r="D2" s="93" t="s">
        <v>76</v>
      </c>
      <c r="E2" s="93">
        <v>210.0</v>
      </c>
    </row>
    <row r="3">
      <c r="A3" s="94" t="s">
        <v>77</v>
      </c>
      <c r="B3" s="95">
        <v>169.0</v>
      </c>
      <c r="D3" s="93" t="s">
        <v>78</v>
      </c>
      <c r="E3" s="93">
        <v>99.0</v>
      </c>
    </row>
    <row r="4">
      <c r="A4" s="94" t="s">
        <v>79</v>
      </c>
      <c r="B4" s="95">
        <v>169.0</v>
      </c>
      <c r="D4" s="93" t="s">
        <v>80</v>
      </c>
      <c r="E4" s="93">
        <v>80.0</v>
      </c>
    </row>
    <row r="5">
      <c r="A5" s="94" t="s">
        <v>81</v>
      </c>
      <c r="B5" s="95">
        <v>169.0</v>
      </c>
    </row>
    <row r="6">
      <c r="A6" s="94" t="s">
        <v>82</v>
      </c>
      <c r="B6" s="95">
        <v>179.0</v>
      </c>
    </row>
    <row r="7">
      <c r="A7" s="94" t="s">
        <v>83</v>
      </c>
      <c r="B7" s="95">
        <v>219.0</v>
      </c>
    </row>
    <row r="8">
      <c r="A8" s="94" t="s">
        <v>84</v>
      </c>
      <c r="B8" s="95">
        <v>179.0</v>
      </c>
    </row>
    <row r="9">
      <c r="A9" s="94" t="s">
        <v>85</v>
      </c>
      <c r="B9" s="95">
        <v>179.0</v>
      </c>
    </row>
    <row r="10">
      <c r="A10" s="94" t="s">
        <v>86</v>
      </c>
      <c r="B10" s="95">
        <v>169.0</v>
      </c>
    </row>
    <row r="11">
      <c r="A11" s="94" t="s">
        <v>87</v>
      </c>
      <c r="B11" s="95">
        <v>169.0</v>
      </c>
    </row>
    <row r="12">
      <c r="A12" s="94" t="s">
        <v>88</v>
      </c>
      <c r="B12" s="95">
        <v>149.0</v>
      </c>
    </row>
    <row r="13">
      <c r="A13" s="94" t="s">
        <v>89</v>
      </c>
      <c r="B13" s="95">
        <v>169.0</v>
      </c>
    </row>
    <row r="14">
      <c r="A14" s="94" t="s">
        <v>90</v>
      </c>
      <c r="B14" s="95">
        <v>159.0</v>
      </c>
    </row>
    <row r="15">
      <c r="A15" s="94" t="s">
        <v>91</v>
      </c>
      <c r="B15" s="95">
        <v>159.0</v>
      </c>
    </row>
    <row r="16">
      <c r="A16" s="94" t="s">
        <v>92</v>
      </c>
      <c r="B16" s="95">
        <v>149.0</v>
      </c>
    </row>
    <row r="17">
      <c r="A17" s="94" t="s">
        <v>93</v>
      </c>
      <c r="B17" s="95">
        <v>159.0</v>
      </c>
    </row>
    <row r="18">
      <c r="A18" s="94" t="s">
        <v>94</v>
      </c>
      <c r="B18" s="95">
        <v>169.0</v>
      </c>
    </row>
    <row r="19">
      <c r="A19" s="94" t="s">
        <v>95</v>
      </c>
      <c r="B19" s="95">
        <v>169.0</v>
      </c>
    </row>
    <row r="20">
      <c r="A20" s="94" t="s">
        <v>96</v>
      </c>
      <c r="B20" s="95">
        <v>169.0</v>
      </c>
    </row>
    <row r="21">
      <c r="A21" s="94" t="s">
        <v>97</v>
      </c>
      <c r="B21" s="95">
        <v>169.0</v>
      </c>
    </row>
    <row r="22">
      <c r="A22" s="94" t="s">
        <v>98</v>
      </c>
      <c r="B22" s="95">
        <v>179.0</v>
      </c>
    </row>
    <row r="23">
      <c r="A23" s="94" t="s">
        <v>99</v>
      </c>
      <c r="B23" s="95">
        <v>219.0</v>
      </c>
    </row>
    <row r="24">
      <c r="A24" s="94" t="s">
        <v>100</v>
      </c>
      <c r="B24" s="95">
        <v>179.0</v>
      </c>
    </row>
    <row r="25">
      <c r="A25" s="94" t="s">
        <v>101</v>
      </c>
      <c r="B25" s="95">
        <v>179.0</v>
      </c>
    </row>
    <row r="26">
      <c r="A26" s="94" t="s">
        <v>102</v>
      </c>
      <c r="B26" s="95">
        <v>169.0</v>
      </c>
    </row>
    <row r="27">
      <c r="A27" s="94" t="s">
        <v>103</v>
      </c>
      <c r="B27" s="95">
        <v>169.0</v>
      </c>
    </row>
    <row r="28">
      <c r="A28" s="94" t="s">
        <v>104</v>
      </c>
      <c r="B28" s="95">
        <v>149.0</v>
      </c>
    </row>
    <row r="29">
      <c r="A29" s="94" t="s">
        <v>105</v>
      </c>
      <c r="B29" s="95">
        <v>169.0</v>
      </c>
    </row>
    <row r="30">
      <c r="A30" s="94" t="s">
        <v>106</v>
      </c>
      <c r="B30" s="95">
        <v>159.0</v>
      </c>
    </row>
    <row r="31">
      <c r="A31" s="94" t="s">
        <v>107</v>
      </c>
      <c r="B31" s="95">
        <v>159.0</v>
      </c>
    </row>
    <row r="32">
      <c r="A32" s="94" t="s">
        <v>108</v>
      </c>
      <c r="B32" s="95">
        <v>149.0</v>
      </c>
    </row>
    <row r="33">
      <c r="A33" s="94" t="s">
        <v>109</v>
      </c>
      <c r="B33" s="95">
        <v>159.0</v>
      </c>
    </row>
    <row r="34">
      <c r="A34" s="94" t="s">
        <v>110</v>
      </c>
      <c r="B34" s="95">
        <v>192.0</v>
      </c>
    </row>
    <row r="35">
      <c r="A35" s="94" t="s">
        <v>111</v>
      </c>
      <c r="B35" s="95">
        <v>192.0</v>
      </c>
    </row>
    <row r="36">
      <c r="A36" s="94" t="s">
        <v>112</v>
      </c>
      <c r="B36" s="95">
        <v>212.0</v>
      </c>
    </row>
    <row r="37">
      <c r="A37" s="94" t="s">
        <v>113</v>
      </c>
      <c r="B37" s="95">
        <v>262.0</v>
      </c>
    </row>
    <row r="38">
      <c r="A38" s="94" t="s">
        <v>114</v>
      </c>
      <c r="B38" s="95">
        <v>262.0</v>
      </c>
    </row>
    <row r="39">
      <c r="A39" s="94" t="s">
        <v>115</v>
      </c>
      <c r="B39" s="95">
        <v>262.0</v>
      </c>
    </row>
    <row r="40">
      <c r="A40" s="94" t="s">
        <v>116</v>
      </c>
      <c r="B40" s="95">
        <v>242.0</v>
      </c>
    </row>
    <row r="41">
      <c r="A41" s="94" t="s">
        <v>117</v>
      </c>
      <c r="B41" s="95">
        <v>242.0</v>
      </c>
    </row>
    <row r="42">
      <c r="A42" s="94" t="s">
        <v>118</v>
      </c>
      <c r="B42" s="95">
        <v>242.0</v>
      </c>
    </row>
    <row r="43">
      <c r="A43" s="94" t="s">
        <v>119</v>
      </c>
      <c r="B43" s="95">
        <v>212.0</v>
      </c>
    </row>
    <row r="44">
      <c r="A44" s="94" t="s">
        <v>120</v>
      </c>
      <c r="B44" s="95">
        <v>212.0</v>
      </c>
    </row>
    <row r="45">
      <c r="A45" s="94" t="s">
        <v>121</v>
      </c>
      <c r="B45" s="95">
        <v>242.0</v>
      </c>
    </row>
    <row r="46">
      <c r="A46" s="94" t="s">
        <v>122</v>
      </c>
      <c r="B46" s="95">
        <v>169.0</v>
      </c>
    </row>
    <row r="47">
      <c r="A47" s="94" t="s">
        <v>123</v>
      </c>
      <c r="B47" s="95">
        <v>169.0</v>
      </c>
    </row>
    <row r="48">
      <c r="A48" s="94" t="s">
        <v>124</v>
      </c>
      <c r="B48" s="95">
        <v>169.0</v>
      </c>
    </row>
    <row r="49">
      <c r="A49" s="94" t="s">
        <v>125</v>
      </c>
      <c r="B49" s="95">
        <v>169.0</v>
      </c>
    </row>
    <row r="50">
      <c r="A50" s="94" t="s">
        <v>126</v>
      </c>
      <c r="B50" s="95">
        <v>179.0</v>
      </c>
    </row>
    <row r="51">
      <c r="A51" s="94" t="s">
        <v>127</v>
      </c>
      <c r="B51" s="95">
        <v>219.0</v>
      </c>
    </row>
    <row r="52">
      <c r="A52" s="94" t="s">
        <v>128</v>
      </c>
      <c r="B52" s="95">
        <v>179.0</v>
      </c>
    </row>
    <row r="53">
      <c r="A53" s="94" t="s">
        <v>129</v>
      </c>
      <c r="B53" s="95">
        <v>179.0</v>
      </c>
    </row>
    <row r="54">
      <c r="A54" s="94" t="s">
        <v>130</v>
      </c>
      <c r="B54" s="95">
        <v>169.0</v>
      </c>
    </row>
    <row r="55">
      <c r="A55" s="94" t="s">
        <v>131</v>
      </c>
      <c r="B55" s="95">
        <v>169.0</v>
      </c>
    </row>
    <row r="56">
      <c r="A56" s="94" t="s">
        <v>132</v>
      </c>
      <c r="B56" s="95">
        <v>149.0</v>
      </c>
    </row>
    <row r="57">
      <c r="A57" s="94" t="s">
        <v>133</v>
      </c>
      <c r="B57" s="95">
        <v>169.0</v>
      </c>
    </row>
    <row r="58">
      <c r="A58" s="94" t="s">
        <v>134</v>
      </c>
      <c r="B58" s="95">
        <v>159.0</v>
      </c>
    </row>
    <row r="59">
      <c r="A59" s="94" t="s">
        <v>135</v>
      </c>
      <c r="B59" s="95">
        <v>159.0</v>
      </c>
    </row>
    <row r="60">
      <c r="A60" s="94" t="s">
        <v>136</v>
      </c>
      <c r="B60" s="95">
        <v>149.0</v>
      </c>
    </row>
    <row r="61">
      <c r="A61" s="94" t="s">
        <v>137</v>
      </c>
      <c r="B61" s="95">
        <v>159.0</v>
      </c>
    </row>
    <row r="62">
      <c r="A62" s="94" t="s">
        <v>138</v>
      </c>
      <c r="B62" s="95">
        <v>192.0</v>
      </c>
    </row>
    <row r="63">
      <c r="A63" s="94" t="s">
        <v>139</v>
      </c>
      <c r="B63" s="95">
        <v>192.0</v>
      </c>
    </row>
    <row r="64">
      <c r="A64" s="94" t="s">
        <v>140</v>
      </c>
      <c r="B64" s="95">
        <v>232.0</v>
      </c>
    </row>
    <row r="65">
      <c r="A65" s="94" t="s">
        <v>141</v>
      </c>
      <c r="B65" s="95">
        <v>222.0</v>
      </c>
    </row>
    <row r="66">
      <c r="A66" s="94" t="s">
        <v>142</v>
      </c>
      <c r="B66" s="95">
        <v>235.0</v>
      </c>
    </row>
    <row r="67">
      <c r="A67" s="94" t="s">
        <v>143</v>
      </c>
      <c r="B67" s="95">
        <v>275.0</v>
      </c>
    </row>
    <row r="68">
      <c r="A68" s="94" t="s">
        <v>144</v>
      </c>
      <c r="B68" s="95">
        <v>275.0</v>
      </c>
    </row>
    <row r="69">
      <c r="A69" s="94" t="s">
        <v>145</v>
      </c>
      <c r="B69" s="95">
        <v>259.0</v>
      </c>
    </row>
    <row r="70">
      <c r="A70" s="94" t="s">
        <v>146</v>
      </c>
      <c r="B70" s="95">
        <v>269.0</v>
      </c>
    </row>
    <row r="71">
      <c r="A71" s="94" t="s">
        <v>147</v>
      </c>
      <c r="B71" s="95">
        <v>242.0</v>
      </c>
    </row>
    <row r="72">
      <c r="A72" s="94" t="s">
        <v>148</v>
      </c>
      <c r="B72" s="95">
        <v>232.0</v>
      </c>
    </row>
    <row r="73">
      <c r="A73" s="94" t="s">
        <v>149</v>
      </c>
      <c r="B73" s="95">
        <v>232.0</v>
      </c>
    </row>
    <row r="74">
      <c r="A74" s="94" t="s">
        <v>150</v>
      </c>
      <c r="B74" s="95">
        <v>139.0</v>
      </c>
    </row>
    <row r="75">
      <c r="A75" s="94" t="s">
        <v>151</v>
      </c>
      <c r="B75" s="95">
        <v>179.0</v>
      </c>
    </row>
    <row r="76">
      <c r="A76" s="94" t="s">
        <v>152</v>
      </c>
      <c r="B76" s="95">
        <v>179.0</v>
      </c>
    </row>
    <row r="77">
      <c r="A77" s="94" t="s">
        <v>153</v>
      </c>
      <c r="B77" s="95">
        <v>192.0</v>
      </c>
    </row>
    <row r="78">
      <c r="A78" s="94" t="s">
        <v>154</v>
      </c>
      <c r="B78" s="95">
        <v>179.0</v>
      </c>
    </row>
    <row r="79">
      <c r="A79" s="94" t="s">
        <v>155</v>
      </c>
      <c r="B79" s="95">
        <v>192.0</v>
      </c>
    </row>
    <row r="80">
      <c r="A80" s="94" t="s">
        <v>156</v>
      </c>
      <c r="B80" s="95">
        <v>192.0</v>
      </c>
    </row>
    <row r="81">
      <c r="A81" s="94" t="s">
        <v>157</v>
      </c>
      <c r="B81" s="95">
        <v>192.0</v>
      </c>
    </row>
    <row r="82">
      <c r="A82" s="94" t="s">
        <v>158</v>
      </c>
      <c r="B82" s="95">
        <v>192.0</v>
      </c>
    </row>
    <row r="83">
      <c r="A83" s="94" t="s">
        <v>159</v>
      </c>
      <c r="B83" s="95">
        <v>192.0</v>
      </c>
    </row>
    <row r="84">
      <c r="A84" s="94" t="s">
        <v>160</v>
      </c>
      <c r="B84" s="95">
        <v>192.0</v>
      </c>
    </row>
    <row r="85">
      <c r="A85" s="94" t="s">
        <v>161</v>
      </c>
      <c r="B85" s="95">
        <v>192.0</v>
      </c>
    </row>
    <row r="86">
      <c r="A86" s="94" t="s">
        <v>162</v>
      </c>
      <c r="B86" s="95">
        <v>192.0</v>
      </c>
    </row>
    <row r="87">
      <c r="A87" s="94" t="s">
        <v>163</v>
      </c>
      <c r="B87" s="95">
        <v>192.0</v>
      </c>
    </row>
    <row r="88">
      <c r="A88" s="94" t="s">
        <v>164</v>
      </c>
      <c r="B88" s="95">
        <v>292.0</v>
      </c>
    </row>
    <row r="89">
      <c r="A89" s="94" t="s">
        <v>165</v>
      </c>
      <c r="B89" s="95">
        <v>292.0</v>
      </c>
    </row>
    <row r="90">
      <c r="A90" s="94" t="s">
        <v>166</v>
      </c>
      <c r="B90" s="95">
        <v>292.0</v>
      </c>
    </row>
    <row r="91">
      <c r="A91" s="94" t="s">
        <v>167</v>
      </c>
      <c r="B91" s="95">
        <v>292.0</v>
      </c>
    </row>
    <row r="92">
      <c r="A92" s="94" t="s">
        <v>168</v>
      </c>
      <c r="B92" s="95">
        <v>292.0</v>
      </c>
    </row>
    <row r="93">
      <c r="A93" s="94" t="s">
        <v>169</v>
      </c>
      <c r="B93" s="95">
        <v>292.0</v>
      </c>
    </row>
    <row r="94">
      <c r="A94" s="94" t="s">
        <v>170</v>
      </c>
      <c r="B94" s="95">
        <v>292.0</v>
      </c>
    </row>
    <row r="95">
      <c r="A95" s="94" t="s">
        <v>171</v>
      </c>
      <c r="B95" s="95">
        <v>292.0</v>
      </c>
    </row>
    <row r="96">
      <c r="A96" s="94" t="s">
        <v>172</v>
      </c>
      <c r="B96" s="95">
        <v>292.0</v>
      </c>
    </row>
    <row r="97">
      <c r="A97" s="93" t="s">
        <v>173</v>
      </c>
      <c r="B97" s="93">
        <v>491.0</v>
      </c>
    </row>
    <row r="98">
      <c r="A98" s="93" t="s">
        <v>174</v>
      </c>
      <c r="B98" s="93">
        <v>491.0</v>
      </c>
    </row>
    <row r="99">
      <c r="A99" s="93" t="s">
        <v>175</v>
      </c>
      <c r="B99" s="93">
        <v>591.0</v>
      </c>
    </row>
    <row r="100">
      <c r="A100" s="93" t="s">
        <v>176</v>
      </c>
      <c r="B100" s="93">
        <v>591.0</v>
      </c>
    </row>
    <row r="101">
      <c r="A101" s="93" t="s">
        <v>177</v>
      </c>
      <c r="B101" s="93">
        <v>650.0</v>
      </c>
    </row>
    <row r="102">
      <c r="A102" s="93" t="s">
        <v>178</v>
      </c>
      <c r="B102" s="93">
        <v>709.0</v>
      </c>
    </row>
    <row r="103">
      <c r="A103" s="93" t="s">
        <v>179</v>
      </c>
      <c r="B103" s="93">
        <v>791.0</v>
      </c>
    </row>
    <row r="104">
      <c r="A104" s="93" t="s">
        <v>180</v>
      </c>
      <c r="B104" s="93">
        <v>791.0</v>
      </c>
    </row>
    <row r="105">
      <c r="A105" s="93" t="s">
        <v>181</v>
      </c>
      <c r="B105" s="93">
        <v>891.0</v>
      </c>
    </row>
    <row r="106">
      <c r="A106" s="93" t="s">
        <v>182</v>
      </c>
      <c r="B106" s="93">
        <v>891.0</v>
      </c>
    </row>
    <row r="107">
      <c r="A107" s="93" t="s">
        <v>183</v>
      </c>
      <c r="B107" s="93">
        <v>950.0</v>
      </c>
    </row>
    <row r="108">
      <c r="A108" s="93" t="s">
        <v>184</v>
      </c>
      <c r="B108" s="93">
        <v>1009.0</v>
      </c>
    </row>
    <row r="109">
      <c r="A109" s="93" t="s">
        <v>185</v>
      </c>
      <c r="B109" s="93">
        <v>499.0</v>
      </c>
    </row>
    <row r="110">
      <c r="A110" s="93" t="s">
        <v>186</v>
      </c>
      <c r="B110" s="93">
        <v>499.0</v>
      </c>
    </row>
    <row r="111">
      <c r="A111" s="93" t="s">
        <v>187</v>
      </c>
      <c r="B111" s="93">
        <v>599.0</v>
      </c>
    </row>
    <row r="112">
      <c r="A112" s="93" t="s">
        <v>188</v>
      </c>
      <c r="B112" s="93">
        <v>599.0</v>
      </c>
    </row>
    <row r="113">
      <c r="A113" s="93" t="s">
        <v>189</v>
      </c>
      <c r="B113" s="93">
        <v>659.0</v>
      </c>
    </row>
    <row r="114">
      <c r="A114" s="93" t="s">
        <v>190</v>
      </c>
      <c r="B114" s="93">
        <v>659.0</v>
      </c>
    </row>
    <row r="115">
      <c r="A115" s="93" t="s">
        <v>191</v>
      </c>
      <c r="B115" s="93">
        <v>791.0</v>
      </c>
    </row>
    <row r="116">
      <c r="A116" s="93" t="s">
        <v>192</v>
      </c>
      <c r="B116" s="93">
        <v>719.0</v>
      </c>
    </row>
    <row r="117">
      <c r="A117" s="93" t="s">
        <v>193</v>
      </c>
      <c r="B117" s="93">
        <v>799.0</v>
      </c>
    </row>
    <row r="118">
      <c r="A118" s="93" t="s">
        <v>194</v>
      </c>
      <c r="B118" s="93">
        <v>799.0</v>
      </c>
    </row>
    <row r="119">
      <c r="A119" s="93" t="s">
        <v>195</v>
      </c>
      <c r="B119" s="93">
        <v>899.0</v>
      </c>
    </row>
    <row r="120">
      <c r="A120" s="93" t="s">
        <v>196</v>
      </c>
      <c r="B120" s="93">
        <v>899.0</v>
      </c>
    </row>
    <row r="121">
      <c r="A121" s="93" t="s">
        <v>197</v>
      </c>
      <c r="B121" s="93">
        <v>959.0</v>
      </c>
    </row>
    <row r="122">
      <c r="A122" s="93" t="s">
        <v>198</v>
      </c>
      <c r="B122" s="93">
        <v>959.0</v>
      </c>
    </row>
    <row r="123">
      <c r="A123" s="93" t="s">
        <v>199</v>
      </c>
      <c r="B123" s="93">
        <v>1019.0</v>
      </c>
    </row>
    <row r="124">
      <c r="A124" s="93" t="s">
        <v>200</v>
      </c>
      <c r="B124" s="93">
        <v>1019.0</v>
      </c>
    </row>
    <row r="125">
      <c r="A125" s="93" t="s">
        <v>201</v>
      </c>
      <c r="B125" s="93">
        <v>599.0</v>
      </c>
    </row>
    <row r="126">
      <c r="A126" s="93" t="s">
        <v>202</v>
      </c>
      <c r="B126" s="93">
        <v>599.0</v>
      </c>
    </row>
    <row r="127">
      <c r="A127" s="93" t="s">
        <v>203</v>
      </c>
      <c r="B127" s="93">
        <v>699.0</v>
      </c>
    </row>
    <row r="128">
      <c r="A128" s="93" t="s">
        <v>204</v>
      </c>
      <c r="B128" s="93">
        <v>699.0</v>
      </c>
    </row>
    <row r="129">
      <c r="A129" s="93" t="s">
        <v>205</v>
      </c>
      <c r="B129" s="93">
        <v>759.0</v>
      </c>
    </row>
    <row r="130">
      <c r="A130" s="93" t="s">
        <v>206</v>
      </c>
      <c r="B130" s="93">
        <v>759.0</v>
      </c>
    </row>
    <row r="131">
      <c r="A131" s="93" t="s">
        <v>207</v>
      </c>
      <c r="B131" s="93">
        <v>891.0</v>
      </c>
    </row>
    <row r="132">
      <c r="A132" s="93" t="s">
        <v>208</v>
      </c>
      <c r="B132" s="93">
        <v>891.0</v>
      </c>
    </row>
    <row r="133">
      <c r="A133" s="93" t="s">
        <v>209</v>
      </c>
      <c r="B133" s="93">
        <v>899.0</v>
      </c>
    </row>
    <row r="134">
      <c r="A134" s="93" t="s">
        <v>210</v>
      </c>
      <c r="B134" s="93">
        <v>899.0</v>
      </c>
    </row>
    <row r="135">
      <c r="A135" s="93" t="s">
        <v>211</v>
      </c>
      <c r="B135" s="93">
        <v>999.0</v>
      </c>
    </row>
    <row r="136">
      <c r="A136" s="93" t="s">
        <v>212</v>
      </c>
      <c r="B136" s="93">
        <v>999.0</v>
      </c>
    </row>
    <row r="137">
      <c r="A137" s="93" t="s">
        <v>213</v>
      </c>
      <c r="B137" s="93">
        <v>1059.0</v>
      </c>
    </row>
    <row r="138">
      <c r="A138" s="93" t="s">
        <v>214</v>
      </c>
      <c r="B138" s="93">
        <v>1059.0</v>
      </c>
    </row>
    <row r="139">
      <c r="A139" s="93" t="s">
        <v>215</v>
      </c>
      <c r="B139" s="93">
        <v>1119.0</v>
      </c>
    </row>
    <row r="140">
      <c r="A140" s="93" t="s">
        <v>216</v>
      </c>
      <c r="B140" s="93">
        <v>1119.0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2025-05-19T08:52:23Z</dcterms:created>
  <dc:creator>Sučanský Peter</dc:creator>
</cp:coreProperties>
</file>